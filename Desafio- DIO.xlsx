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BE41E0D-3307-4E8D-81C5-B054D6446DC9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externalReferences>
    <externalReference r:id="rId5"/>
  </externalReference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4" l="1"/>
  <c r="I5" i="3"/>
  <c r="I4" i="3"/>
  <c r="I3" i="3"/>
  <c r="I2" i="3"/>
</calcChain>
</file>

<file path=xl/sharedStrings.xml><?xml version="1.0" encoding="utf-8"?>
<sst xmlns="http://schemas.openxmlformats.org/spreadsheetml/2006/main" count="2036" uniqueCount="339">
  <si>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</si>
  <si>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</si>
  <si>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</si>
  <si>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</si>
  <si>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</si>
  <si>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</si>
  <si>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</si>
  <si>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</si>
  <si>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</si>
  <si>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</si>
  <si>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</si>
  <si>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</si>
  <si>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</si>
  <si>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</si>
  <si>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</si>
  <si>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</si>
  <si>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</si>
  <si>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</si>
  <si>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</si>
  <si>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</si>
  <si>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</si>
  <si>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</si>
  <si>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</si>
  <si>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</si>
  <si>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</si>
  <si>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</si>
  <si>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</si>
  <si>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</si>
  <si>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</si>
  <si>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</si>
  <si>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</si>
  <si>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</si>
  <si>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</si>
  <si>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</si>
  <si>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</si>
  <si>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</si>
  <si>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</si>
  <si>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</si>
  <si>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</si>
  <si>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</si>
  <si>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</si>
  <si>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</si>
  <si>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</si>
  <si>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</si>
  <si>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</si>
  <si>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</si>
  <si>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</si>
  <si>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</si>
  <si>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</si>
  <si>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</si>
  <si>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</si>
  <si>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</si>
  <si>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</si>
  <si>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</si>
  <si>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</si>
  <si>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</si>
  <si>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</si>
  <si>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</si>
  <si>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</si>
  <si>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</si>
  <si>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</si>
  <si>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</si>
  <si>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</si>
  <si>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</si>
  <si>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</si>
  <si>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</si>
  <si>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</si>
  <si>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</si>
  <si>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</si>
  <si>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</si>
  <si>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</si>
  <si>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</si>
  <si>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</si>
  <si>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</si>
  <si>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</si>
  <si>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</si>
  <si>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</si>
  <si>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</si>
  <si>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</si>
  <si>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</si>
  <si>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</si>
  <si>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</si>
  <si>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</si>
  <si>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</si>
  <si>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</si>
  <si>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</si>
  <si>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</si>
  <si>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</si>
  <si>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</si>
  <si>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</si>
  <si>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</si>
  <si>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</si>
  <si>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</si>
  <si>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</si>
  <si>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</si>
  <si>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</si>
  <si>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</si>
  <si>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</si>
  <si>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</si>
  <si>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</si>
  <si>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</si>
  <si>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</si>
  <si>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</si>
  <si>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</si>
  <si>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</si>
  <si>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</si>
  <si>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</si>
  <si>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</si>
  <si>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</si>
  <si>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</si>
  <si>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</si>
  <si>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</si>
  <si>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</si>
  <si>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</si>
  <si>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</si>
  <si>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</si>
  <si>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</si>
  <si>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</si>
  <si>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</si>
  <si>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</si>
  <si>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</si>
  <si>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</si>
  <si>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</si>
  <si>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</si>
  <si>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</si>
  <si>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</si>
  <si>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</si>
  <si>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</si>
  <si>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</si>
  <si>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</si>
  <si>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</si>
  <si>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</si>
  <si>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</si>
  <si>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</si>
  <si>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</si>
  <si>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</si>
  <si>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</si>
  <si>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</si>
  <si>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</si>
  <si>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</si>
  <si>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</si>
  <si>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</si>
  <si>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</si>
  <si>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</si>
  <si>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</si>
  <si>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</si>
  <si>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</si>
  <si>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</si>
  <si>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</si>
  <si>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</si>
  <si>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</si>
  <si>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</si>
  <si>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</si>
  <si>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</si>
  <si>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</si>
  <si>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</si>
  <si>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</si>
  <si>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</si>
  <si>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</si>
  <si>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</si>
  <si>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</si>
  <si>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</si>
  <si>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</si>
  <si>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</si>
  <si>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</si>
  <si>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</si>
  <si>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</si>
  <si>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</si>
  <si>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</si>
  <si>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</si>
  <si>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</si>
  <si>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</si>
  <si>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</si>
  <si>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</si>
  <si>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</si>
  <si>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</si>
  <si>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</si>
  <si>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</si>
  <si>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</si>
  <si>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</si>
  <si>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</si>
  <si>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</si>
  <si>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</si>
  <si>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</si>
  <si>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</si>
  <si>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</si>
  <si>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</si>
  <si>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</si>
  <si>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</si>
  <si>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</si>
  <si>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</si>
  <si>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</si>
  <si>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</si>
  <si>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</si>
  <si>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</si>
  <si>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</si>
  <si>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</si>
  <si>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</si>
  <si>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</si>
  <si>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</si>
  <si>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</si>
  <si>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</si>
  <si>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</si>
  <si>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</si>
  <si>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</si>
  <si>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</si>
  <si>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</si>
  <si>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</si>
  <si>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</si>
  <si>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</si>
  <si>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</si>
  <si>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</si>
  <si>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</si>
  <si>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</si>
  <si>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</si>
  <si>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</si>
  <si>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</si>
  <si>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</si>
  <si>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</si>
  <si>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</si>
  <si>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</si>
  <si>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</si>
  <si>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</si>
  <si>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</si>
  <si>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</si>
  <si>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</si>
  <si>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</si>
  <si>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</si>
  <si>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</si>
  <si>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</si>
  <si>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</si>
  <si>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</si>
  <si>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</si>
  <si>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</si>
  <si>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</si>
  <si>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</si>
  <si>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</si>
  <si>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</si>
  <si>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</si>
  <si>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</si>
  <si>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</si>
  <si>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</si>
  <si>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</si>
  <si>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</si>
  <si>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</si>
  <si>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</si>
  <si>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</si>
  <si>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</si>
  <si>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</si>
  <si>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</si>
  <si>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</si>
  <si>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</si>
  <si>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</si>
  <si>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</si>
  <si>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</si>
  <si>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</si>
  <si>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</si>
  <si>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</si>
  <si>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</si>
  <si>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</si>
  <si>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</si>
  <si>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</si>
  <si>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</si>
  <si>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</si>
  <si>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</si>
  <si>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</si>
  <si>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</si>
  <si>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</si>
  <si>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</si>
  <si>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</si>
  <si>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</si>
  <si>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</si>
  <si>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</si>
  <si>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</si>
  <si>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</si>
  <si>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</si>
  <si>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</si>
  <si>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</si>
  <si>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</si>
  <si>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</si>
  <si>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</si>
  <si>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</si>
  <si>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</si>
  <si>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</si>
  <si>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</si>
  <si>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</si>
  <si>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</si>
  <si>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</si>
  <si>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</si>
  <si>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</si>
  <si>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</si>
  <si>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</si>
  <si>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</si>
  <si>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</si>
  <si>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</si>
  <si>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</si>
  <si>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</si>
  <si>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</si>
  <si>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</si>
  <si>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</si>
  <si>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</si>
  <si>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</si>
  <si>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</si>
  <si>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</si>
  <si>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</si>
  <si>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</si>
  <si>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</si>
  <si>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</si>
  <si>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</si>
  <si>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</si>
  <si>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</si>
  <si>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</si>
  <si>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</si>
  <si>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</si>
  <si>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Receita por Plano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</si>
  <si>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</si>
  <si>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</si>
  <si>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</si>
  <si>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</si>
  <si>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</si>
  <si>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</si>
  <si>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</si>
  <si>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</si>
  <si>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</si>
  <si>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</si>
  <si>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</si>
  <si>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</si>
  <si>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2024</t>
  </si>
  <si>
    <t>Receita por Tipo de Assinatura</t>
  </si>
  <si>
    <t>Receita por Renovação Automática</t>
  </si>
  <si>
    <t>Receita por EA Play</t>
  </si>
  <si>
    <t>Receita por Minecraft Pass</t>
  </si>
  <si>
    <t>Receita por Mês</t>
  </si>
  <si>
    <t>Dashboard de Vendas Xbox</t>
  </si>
  <si>
    <t>KPIs</t>
  </si>
  <si>
    <t>Faturamento Total</t>
  </si>
  <si>
    <t>Total de Assinantes</t>
  </si>
  <si>
    <t>Ticket Médio</t>
  </si>
  <si>
    <t>Total em Cupons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</si>
</sst>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2" xfId="0" applyBorder="1"/>
    <xf numFmtId="0" fontId="0" fillId="0" borderId="0" xfId="0" applyBorder="1"/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0" fillId="0" borderId="2" xfId="0" applyNumberFormat="1" applyBorder="1"/>
    <xf numFmtId="164" fontId="0" fillId="0" borderId="2" xfId="0" applyNumberFormat="1" applyBorder="1" applyAlignment="1">
      <alignment vertical="center" wrapText="1"/>
    </xf>
    <xf numFmtId="0" fontId="0" fillId="8" borderId="0" xfId="0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0" fillId="0" borderId="2" xfId="0" applyBorder="1" applyAlignment="1">
      <alignment horizontal="left" indent="1"/>
    </xf>
  </cellXfs>
  <cellStyles count="3">
    <cellStyle name="Moeda" xfId="2" builtinId="4"/>
    <cellStyle name="Normal" xfId="0" builtinId="0"/>
    <cellStyle name="Título 1" xfId="1" builtinId="16"/>
  </cellStyles>
  <dxfs count="5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8E6E8"/>
      <color rgb="FFE0E0E0"/>
      <color rgb="FFEDEDED"/>
      <color rgb="FF9BC848"/>
      <color rgb="FF5BF6A8"/>
      <color rgb="FF22C55E"/>
      <color rgb="FF2AE6B1"/>
      <color rgb="FFE8E6E9"/>
      <color rgb="FF000000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DIO.xlsx]C̳álculos!Tabela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Plano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C̳álculos!$A$2:$A$4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C̳álculos!$B$2:$B$4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1-45E8-B582-ACEF61067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083888"/>
        <c:axId val="1588079088"/>
      </c:barChart>
      <c:catAx>
        <c:axId val="15880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079088"/>
        <c:crosses val="autoZero"/>
        <c:auto val="1"/>
        <c:lblAlgn val="ctr"/>
        <c:lblOffset val="100"/>
        <c:noMultiLvlLbl val="0"/>
      </c:catAx>
      <c:valAx>
        <c:axId val="15880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0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E6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DIO.xlsx]C̳álculos!Tabela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Tipo de Assinatura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8B-495D-8008-02C5B9638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8B-495D-8008-02C5B96380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8B-495D-8008-02C5B96380AE}"/>
              </c:ext>
            </c:extLst>
          </c:dPt>
          <c:cat>
            <c:strRef>
              <c:f>C̳álculos!$A$9:$A$11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C̳álculos!$B$9:$B$11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8B-495D-8008-02C5B9638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E6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DIO.xlsx]C̳álculos!Tabela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D-41EA-A7D2-39E781778C0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D-41EA-A7D2-39E781778C00}"/>
              </c:ext>
            </c:extLst>
          </c:dPt>
          <c:cat>
            <c:strRef>
              <c:f>C̳álculos!$A$16:$A$17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C̳álculos!$B$16:$B$17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D-41EA-A7D2-39E781778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307887"/>
        <c:axId val="1254312687"/>
      </c:lineChart>
      <c:catAx>
        <c:axId val="1254307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312687"/>
        <c:auto val="1"/>
        <c:lblAlgn val="ctr"/>
        <c:lblOffset val="100"/>
        <c:noMultiLvlLbl val="0"/>
      </c:catAx>
      <c:valAx>
        <c:axId val="12543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307887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E6E8"/>
    </a:solidFill>
    <a:ln w="9525" cap="flat" cmpd="sng" algn="ctr">
      <a:solidFill>
        <a:srgbClr val="9BC848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DIO.xlsx]C̳álculos!Tabela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8-4835-A555-92844359FB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8-4835-A555-92844359FB8C}"/>
              </c:ext>
            </c:extLst>
          </c:dPt>
          <c:cat>
            <c:strRef>
              <c:f>C̳álculos!$A$23:$A$24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C̳álculos!$B$23:$B$24</c:f>
              <c:numCache>
                <c:formatCode>General</c:formatCode>
                <c:ptCount val="2"/>
                <c:pt idx="0">
                  <c:v>2245</c:v>
                </c:pt>
                <c:pt idx="1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08-4835-A555-92844359F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E6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DIO.xlsx]C̳álculos!Tabela dinâmica6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EA Play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79-4EA7-BB12-02DE64704E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79-4EA7-BB12-02DE64704E9C}"/>
              </c:ext>
            </c:extLst>
          </c:dPt>
          <c:cat>
            <c:strRef>
              <c:f>C̳álculos!$A$30:$A$31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C̳álculos!$B$30:$B$31</c:f>
              <c:numCache>
                <c:formatCode>General</c:formatCode>
                <c:ptCount val="2"/>
                <c:pt idx="0">
                  <c:v>444</c:v>
                </c:pt>
                <c:pt idx="1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79-4EA7-BB12-02DE64704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E6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DIO.xlsx]C̳álculos!Tabela dinâmica7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Minecraft Pass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C̳álculos!$F$1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C̳álculos!$E$2:$E$14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C̳álculos!$F$2:$F$14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4-45F3-96E8-0B48B08FA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8E6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1369484</xdr:colOff>
      <xdr:row>11</xdr:row>
      <xdr:rowOff>175683</xdr:rowOff>
    </xdr:from>
    <xdr:to>
      <xdr:col>8</xdr:col>
      <xdr:colOff>601134</xdr:colOff>
      <xdr:row>29</xdr:row>
      <xdr:rowOff>16933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4D3C7-E0A6-465B-89D1-2C76F6E56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607483</xdr:colOff>
      <xdr:row>12</xdr:row>
      <xdr:rowOff>0</xdr:rowOff>
    </xdr:from>
    <xdr:to>
      <xdr:col>18</xdr:col>
      <xdr:colOff>0</xdr:colOff>
      <xdr:row>28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7ABE6F-389C-4869-AFBA-D67AA5B39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6351</xdr:colOff>
      <xdr:row>30</xdr:row>
      <xdr:rowOff>7408</xdr:rowOff>
    </xdr:from>
    <xdr:to>
      <xdr:col>8</xdr:col>
      <xdr:colOff>601134</xdr:colOff>
      <xdr:row>47</xdr:row>
      <xdr:rowOff>8466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41217-36D2-4A22-B4FB-A5AA4D245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29</xdr:row>
      <xdr:rowOff>183092</xdr:rowOff>
    </xdr:from>
    <xdr:to>
      <xdr:col>18</xdr:col>
      <xdr:colOff>8466</xdr:colOff>
      <xdr:row>46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21D123-7582-4969-88D9-D6A739430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5292</xdr:colOff>
      <xdr:row>48</xdr:row>
      <xdr:rowOff>1058</xdr:rowOff>
    </xdr:from>
    <xdr:to>
      <xdr:col>8</xdr:col>
      <xdr:colOff>601134</xdr:colOff>
      <xdr:row>64</xdr:row>
      <xdr:rowOff>169332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CC99A1-3C70-48CF-848C-0ADF220F8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3174</xdr:colOff>
      <xdr:row>48</xdr:row>
      <xdr:rowOff>0</xdr:rowOff>
    </xdr:from>
    <xdr:to>
      <xdr:col>18</xdr:col>
      <xdr:colOff>0</xdr:colOff>
      <xdr:row>64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C7C005E-B18E-4EA9-B0E6-79AE42CFC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8466</xdr:colOff>
      <xdr:row>3</xdr:row>
      <xdr:rowOff>16933</xdr:rowOff>
    </xdr:from>
    <xdr:to>
      <xdr:col>4</xdr:col>
      <xdr:colOff>608541</xdr:colOff>
      <xdr:row>8</xdr:row>
      <xdr:rowOff>8466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21D088C-B3C2-4D7F-8ACE-D7A9799738C0}"/>
            </a:ext>
          </a:extLst>
        </xdr:cNvPr>
        <xdr:cNvSpPr/>
      </xdr:nvSpPr>
      <xdr:spPr>
        <a:xfrm>
          <a:off x="1380066" y="804333"/>
          <a:ext cx="2064808" cy="9398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Faturamento Total</a:t>
          </a:r>
        </a:p>
        <a:p>
          <a:pPr algn="ctr"/>
          <a:endParaRPr lang="pt-BR" sz="1600"/>
        </a:p>
        <a:p>
          <a:pPr algn="ctr"/>
          <a:r>
            <a:rPr lang="pt-BR" sz="1600"/>
            <a:t>R$ 7.633,00</a:t>
          </a:r>
        </a:p>
      </xdr:txBody>
    </xdr:sp>
    <xdr:clientData/>
  </xdr:twoCellAnchor>
  <xdr:twoCellAnchor>
    <xdr:from>
      <xdr:col>5</xdr:col>
      <xdr:colOff>16933</xdr:colOff>
      <xdr:row>3</xdr:row>
      <xdr:rowOff>16934</xdr:rowOff>
    </xdr:from>
    <xdr:to>
      <xdr:col>9</xdr:col>
      <xdr:colOff>8467</xdr:colOff>
      <xdr:row>7</xdr:row>
      <xdr:rowOff>177800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5CE4FFDF-A697-4A74-A6D7-FC47C15FC3FF}"/>
            </a:ext>
          </a:extLst>
        </xdr:cNvPr>
        <xdr:cNvSpPr/>
      </xdr:nvSpPr>
      <xdr:spPr>
        <a:xfrm>
          <a:off x="3462866" y="804334"/>
          <a:ext cx="2429934" cy="922866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Assinantes</a:t>
          </a:r>
        </a:p>
        <a:p>
          <a:pPr algn="ctr"/>
          <a:endParaRPr lang="pt-BR" sz="1800"/>
        </a:p>
        <a:p>
          <a:pPr algn="ctr"/>
          <a:r>
            <a:rPr lang="pt-BR" sz="1800"/>
            <a:t>295</a:t>
          </a:r>
        </a:p>
      </xdr:txBody>
    </xdr:sp>
    <xdr:clientData/>
  </xdr:twoCellAnchor>
  <xdr:twoCellAnchor>
    <xdr:from>
      <xdr:col>9</xdr:col>
      <xdr:colOff>25400</xdr:colOff>
      <xdr:row>3</xdr:row>
      <xdr:rowOff>16934</xdr:rowOff>
    </xdr:from>
    <xdr:to>
      <xdr:col>12</xdr:col>
      <xdr:colOff>609599</xdr:colOff>
      <xdr:row>7</xdr:row>
      <xdr:rowOff>177800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399282CE-50D0-4AA8-9B2A-5DD052F4001F}"/>
            </a:ext>
          </a:extLst>
        </xdr:cNvPr>
        <xdr:cNvSpPr/>
      </xdr:nvSpPr>
      <xdr:spPr>
        <a:xfrm>
          <a:off x="5909733" y="804334"/>
          <a:ext cx="2252133" cy="922866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Ticket Médio</a:t>
          </a:r>
        </a:p>
        <a:p>
          <a:pPr algn="ctr"/>
          <a:r>
            <a:rPr lang="pt-BR" sz="1800"/>
            <a:t>R$ 25,87</a:t>
          </a:r>
        </a:p>
      </xdr:txBody>
    </xdr:sp>
    <xdr:clientData/>
  </xdr:twoCellAnchor>
  <xdr:twoCellAnchor>
    <xdr:from>
      <xdr:col>13</xdr:col>
      <xdr:colOff>16933</xdr:colOff>
      <xdr:row>3</xdr:row>
      <xdr:rowOff>8468</xdr:rowOff>
    </xdr:from>
    <xdr:to>
      <xdr:col>16</xdr:col>
      <xdr:colOff>601133</xdr:colOff>
      <xdr:row>7</xdr:row>
      <xdr:rowOff>177800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8DE176A7-6DC2-4927-86C7-D99BAF7FE659}"/>
            </a:ext>
          </a:extLst>
        </xdr:cNvPr>
        <xdr:cNvSpPr/>
      </xdr:nvSpPr>
      <xdr:spPr>
        <a:xfrm>
          <a:off x="8178800" y="795868"/>
          <a:ext cx="2413000" cy="931332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/>
            <a:t>Total em Cupons</a:t>
          </a:r>
        </a:p>
        <a:p>
          <a:pPr algn="ctr"/>
          <a:endParaRPr lang="pt-BR" sz="1600"/>
        </a:p>
        <a:p>
          <a:pPr algn="ctr"/>
          <a:r>
            <a:rPr lang="pt-BR" sz="1600"/>
            <a:t>R$ 2.092,00</a:t>
          </a:r>
        </a:p>
      </xdr:txBody>
    </xdr:sp>
    <xdr:clientData/>
  </xdr:twoCellAnchor>
  <xdr:twoCellAnchor editAs="oneCell">
    <xdr:from>
      <xdr:col>27</xdr:col>
      <xdr:colOff>5925</xdr:colOff>
      <xdr:row>12</xdr:row>
      <xdr:rowOff>22860</xdr:rowOff>
    </xdr:from>
    <xdr:to>
      <xdr:col>30</xdr:col>
      <xdr:colOff>5925</xdr:colOff>
      <xdr:row>25</xdr:row>
      <xdr:rowOff>182668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lan">
              <a:extLst>
                <a:ext uri="{FF2B5EF4-FFF2-40B4-BE49-F238E27FC236}">
                  <a16:creationId xmlns:a16="http://schemas.microsoft.com/office/drawing/2014/main" id="{ACC36D5F-7ED8-C991-7419-F0FBD34BAC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02192" y="2503593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11853</xdr:colOff>
      <xdr:row>12</xdr:row>
      <xdr:rowOff>3387</xdr:rowOff>
    </xdr:from>
    <xdr:to>
      <xdr:col>26</xdr:col>
      <xdr:colOff>0</xdr:colOff>
      <xdr:row>26</xdr:row>
      <xdr:rowOff>16932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uto Renewal">
              <a:extLst>
                <a:ext uri="{FF2B5EF4-FFF2-40B4-BE49-F238E27FC236}">
                  <a16:creationId xmlns:a16="http://schemas.microsoft.com/office/drawing/2014/main" id="{DACDEA2C-7273-7C41-6B7E-0A0D15E86C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69720" y="2484120"/>
              <a:ext cx="1816947" cy="2621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9313</xdr:colOff>
      <xdr:row>12</xdr:row>
      <xdr:rowOff>846</xdr:rowOff>
    </xdr:from>
    <xdr:to>
      <xdr:col>21</xdr:col>
      <xdr:colOff>601133</xdr:colOff>
      <xdr:row>26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F363F90F-B398-B27F-6750-861F174D0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28780" y="2481579"/>
              <a:ext cx="1811020" cy="2606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&#225;lcul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2.970188657404" createdVersion="8" refreshedVersion="8" minRefreshableVersion="3" recordCount="295" xr:uid="{71624186-B5C9-44B6-92DF-43E5C48C32C8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Anos (Start Date)" numFmtId="0" databaseField="0">
      <fieldGroup base="3">
        <rangePr groupBy="years" startDate="2024-01-01T00:00:00" endDate="2024-12-17T00:00:00"/>
        <groupItems count="3">
          <s v="&lt;01/01/2024"/>
          <s v="2024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476774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n v="30"/>
    <x v="0"/>
    <n v="20"/>
    <n v="5"/>
    <n v="60"/>
  </r>
  <r>
    <n v="3232"/>
    <s v="Maria Oliveira"/>
    <x v="1"/>
    <x v="1"/>
    <x v="1"/>
    <n v="5"/>
    <x v="1"/>
    <x v="1"/>
    <s v="-"/>
    <x v="1"/>
    <n v="0"/>
    <n v="0"/>
    <n v="5"/>
  </r>
  <r>
    <n v="3233"/>
    <s v="Lucas Fernandes"/>
    <x v="2"/>
    <x v="2"/>
    <x v="0"/>
    <n v="10"/>
    <x v="2"/>
    <x v="1"/>
    <s v="-"/>
    <x v="0"/>
    <n v="20"/>
    <n v="10"/>
    <n v="20"/>
  </r>
  <r>
    <n v="3234"/>
    <s v="Ana Souza"/>
    <x v="0"/>
    <x v="3"/>
    <x v="1"/>
    <n v="15"/>
    <x v="0"/>
    <x v="0"/>
    <n v="30"/>
    <x v="0"/>
    <n v="20"/>
    <n v="3"/>
    <n v="62"/>
  </r>
  <r>
    <n v="3235"/>
    <s v="Pedro Gonçalves"/>
    <x v="1"/>
    <x v="4"/>
    <x v="0"/>
    <n v="5"/>
    <x v="0"/>
    <x v="1"/>
    <s v="-"/>
    <x v="1"/>
    <n v="0"/>
    <n v="1"/>
    <n v="4"/>
  </r>
  <r>
    <n v="3236"/>
    <s v="Felipe Costa"/>
    <x v="2"/>
    <x v="5"/>
    <x v="1"/>
    <n v="10"/>
    <x v="0"/>
    <x v="1"/>
    <s v="-"/>
    <x v="0"/>
    <n v="20"/>
    <n v="2"/>
    <n v="28"/>
  </r>
  <r>
    <n v="3237"/>
    <s v="Camila Ribeiro"/>
    <x v="0"/>
    <x v="6"/>
    <x v="0"/>
    <n v="15"/>
    <x v="2"/>
    <x v="0"/>
    <n v="30"/>
    <x v="0"/>
    <n v="20"/>
    <n v="10"/>
    <n v="55"/>
  </r>
  <r>
    <n v="3238"/>
    <s v="André Mendes"/>
    <x v="1"/>
    <x v="7"/>
    <x v="0"/>
    <n v="5"/>
    <x v="1"/>
    <x v="1"/>
    <s v="-"/>
    <x v="1"/>
    <n v="0"/>
    <n v="0"/>
    <n v="5"/>
  </r>
  <r>
    <n v="3239"/>
    <s v="Sofia Almeida"/>
    <x v="0"/>
    <x v="4"/>
    <x v="1"/>
    <n v="15"/>
    <x v="0"/>
    <x v="0"/>
    <n v="30"/>
    <x v="0"/>
    <n v="20"/>
    <n v="5"/>
    <n v="60"/>
  </r>
  <r>
    <n v="3240"/>
    <s v="Bruno Martins"/>
    <x v="2"/>
    <x v="8"/>
    <x v="0"/>
    <n v="10"/>
    <x v="2"/>
    <x v="1"/>
    <s v="-"/>
    <x v="0"/>
    <n v="20"/>
    <n v="15"/>
    <n v="15"/>
  </r>
  <r>
    <n v="3241"/>
    <s v="Rita Castro"/>
    <x v="1"/>
    <x v="9"/>
    <x v="1"/>
    <n v="5"/>
    <x v="0"/>
    <x v="1"/>
    <s v="-"/>
    <x v="1"/>
    <n v="0"/>
    <n v="1"/>
    <n v="4"/>
  </r>
  <r>
    <n v="3242"/>
    <s v="Marco Túlio"/>
    <x v="0"/>
    <x v="10"/>
    <x v="0"/>
    <n v="15"/>
    <x v="1"/>
    <x v="0"/>
    <n v="30"/>
    <x v="0"/>
    <n v="20"/>
    <n v="20"/>
    <n v="45"/>
  </r>
  <r>
    <n v="3243"/>
    <s v="Lívia Silveira"/>
    <x v="2"/>
    <x v="11"/>
    <x v="1"/>
    <n v="10"/>
    <x v="0"/>
    <x v="1"/>
    <s v="-"/>
    <x v="0"/>
    <n v="20"/>
    <n v="10"/>
    <n v="20"/>
  </r>
  <r>
    <n v="3244"/>
    <s v="Diogo Sousa"/>
    <x v="1"/>
    <x v="12"/>
    <x v="0"/>
    <n v="5"/>
    <x v="2"/>
    <x v="1"/>
    <s v="-"/>
    <x v="1"/>
    <n v="0"/>
    <n v="0"/>
    <n v="5"/>
  </r>
  <r>
    <n v="3245"/>
    <s v="Fernanda Lima"/>
    <x v="0"/>
    <x v="13"/>
    <x v="1"/>
    <n v="15"/>
    <x v="0"/>
    <x v="0"/>
    <n v="30"/>
    <x v="0"/>
    <n v="20"/>
    <n v="8"/>
    <n v="57"/>
  </r>
  <r>
    <n v="3246"/>
    <s v="Caio Pereira"/>
    <x v="2"/>
    <x v="14"/>
    <x v="0"/>
    <n v="10"/>
    <x v="1"/>
    <x v="1"/>
    <s v="-"/>
    <x v="0"/>
    <n v="20"/>
    <n v="12"/>
    <n v="18"/>
  </r>
  <r>
    <n v="3247"/>
    <s v="Beatriz Gomes"/>
    <x v="1"/>
    <x v="15"/>
    <x v="1"/>
    <n v="5"/>
    <x v="0"/>
    <x v="1"/>
    <s v="-"/>
    <x v="1"/>
    <n v="0"/>
    <n v="2"/>
    <n v="3"/>
  </r>
  <r>
    <n v="3248"/>
    <s v="Cesar Oliveira"/>
    <x v="0"/>
    <x v="16"/>
    <x v="0"/>
    <n v="15"/>
    <x v="2"/>
    <x v="0"/>
    <n v="30"/>
    <x v="0"/>
    <n v="20"/>
    <n v="7"/>
    <n v="58"/>
  </r>
  <r>
    <n v="3249"/>
    <s v="Débora Machado"/>
    <x v="2"/>
    <x v="17"/>
    <x v="1"/>
    <n v="10"/>
    <x v="0"/>
    <x v="1"/>
    <s v="-"/>
    <x v="0"/>
    <n v="20"/>
    <n v="5"/>
    <n v="25"/>
  </r>
  <r>
    <n v="3250"/>
    <s v="Eduardo Vargas"/>
    <x v="1"/>
    <x v="18"/>
    <x v="0"/>
    <n v="5"/>
    <x v="1"/>
    <x v="1"/>
    <s v="-"/>
    <x v="1"/>
    <n v="0"/>
    <n v="0"/>
    <n v="5"/>
  </r>
  <r>
    <n v="3251"/>
    <s v="Gabriela Santos"/>
    <x v="0"/>
    <x v="19"/>
    <x v="1"/>
    <n v="15"/>
    <x v="0"/>
    <x v="0"/>
    <n v="30"/>
    <x v="0"/>
    <n v="20"/>
    <n v="3"/>
    <n v="62"/>
  </r>
  <r>
    <n v="3252"/>
    <s v="Henrique Dias"/>
    <x v="2"/>
    <x v="20"/>
    <x v="0"/>
    <n v="10"/>
    <x v="2"/>
    <x v="1"/>
    <s v="-"/>
    <x v="0"/>
    <n v="20"/>
    <n v="15"/>
    <n v="15"/>
  </r>
  <r>
    <n v="3253"/>
    <s v="Isabela Moreira"/>
    <x v="1"/>
    <x v="21"/>
    <x v="1"/>
    <n v="5"/>
    <x v="0"/>
    <x v="1"/>
    <s v="-"/>
    <x v="1"/>
    <n v="0"/>
    <n v="1"/>
    <n v="4"/>
  </r>
  <r>
    <n v="3254"/>
    <s v="Joaquim Barbosa"/>
    <x v="0"/>
    <x v="22"/>
    <x v="0"/>
    <n v="15"/>
    <x v="1"/>
    <x v="0"/>
    <n v="30"/>
    <x v="0"/>
    <n v="20"/>
    <n v="20"/>
    <n v="45"/>
  </r>
  <r>
    <n v="3255"/>
    <s v="Lara Rocha"/>
    <x v="2"/>
    <x v="23"/>
    <x v="1"/>
    <n v="10"/>
    <x v="0"/>
    <x v="1"/>
    <s v="-"/>
    <x v="0"/>
    <n v="20"/>
    <n v="10"/>
    <n v="20"/>
  </r>
  <r>
    <n v="3256"/>
    <s v="Matheus Silva"/>
    <x v="1"/>
    <x v="24"/>
    <x v="0"/>
    <n v="5"/>
    <x v="2"/>
    <x v="1"/>
    <s v="-"/>
    <x v="1"/>
    <n v="0"/>
    <n v="0"/>
    <n v="5"/>
  </r>
  <r>
    <n v="3257"/>
    <s v="Nicole Costa"/>
    <x v="0"/>
    <x v="25"/>
    <x v="1"/>
    <n v="15"/>
    <x v="0"/>
    <x v="0"/>
    <n v="30"/>
    <x v="0"/>
    <n v="20"/>
    <n v="5"/>
    <n v="60"/>
  </r>
  <r>
    <n v="3258"/>
    <s v="Otávio Mendonça"/>
    <x v="2"/>
    <x v="26"/>
    <x v="0"/>
    <n v="10"/>
    <x v="1"/>
    <x v="1"/>
    <s v="-"/>
    <x v="0"/>
    <n v="20"/>
    <n v="15"/>
    <n v="15"/>
  </r>
  <r>
    <n v="3259"/>
    <s v="Paula Ferreira"/>
    <x v="1"/>
    <x v="27"/>
    <x v="1"/>
    <n v="5"/>
    <x v="0"/>
    <x v="1"/>
    <s v="-"/>
    <x v="1"/>
    <n v="0"/>
    <n v="1"/>
    <n v="4"/>
  </r>
  <r>
    <n v="3260"/>
    <s v="Raquel Alves"/>
    <x v="0"/>
    <x v="28"/>
    <x v="0"/>
    <n v="15"/>
    <x v="2"/>
    <x v="0"/>
    <n v="30"/>
    <x v="0"/>
    <n v="20"/>
    <n v="7"/>
    <n v="58"/>
  </r>
  <r>
    <n v="3261"/>
    <s v="Samuel Pires"/>
    <x v="2"/>
    <x v="29"/>
    <x v="1"/>
    <n v="10"/>
    <x v="0"/>
    <x v="1"/>
    <s v="-"/>
    <x v="0"/>
    <n v="20"/>
    <n v="10"/>
    <n v="20"/>
  </r>
  <r>
    <n v="3262"/>
    <s v="Tânia Barros"/>
    <x v="1"/>
    <x v="30"/>
    <x v="0"/>
    <n v="5"/>
    <x v="1"/>
    <x v="1"/>
    <s v="-"/>
    <x v="1"/>
    <n v="0"/>
    <n v="0"/>
    <n v="5"/>
  </r>
  <r>
    <n v="3263"/>
    <s v="Vinicius Lima"/>
    <x v="0"/>
    <x v="31"/>
    <x v="1"/>
    <n v="15"/>
    <x v="0"/>
    <x v="0"/>
    <n v="30"/>
    <x v="0"/>
    <n v="20"/>
    <n v="3"/>
    <n v="62"/>
  </r>
  <r>
    <n v="3264"/>
    <s v="Yasmin Teixeira"/>
    <x v="2"/>
    <x v="32"/>
    <x v="0"/>
    <n v="10"/>
    <x v="2"/>
    <x v="1"/>
    <s v="-"/>
    <x v="0"/>
    <n v="20"/>
    <n v="15"/>
    <n v="15"/>
  </r>
  <r>
    <n v="3265"/>
    <s v="Zé Carlos"/>
    <x v="1"/>
    <x v="33"/>
    <x v="1"/>
    <n v="5"/>
    <x v="0"/>
    <x v="1"/>
    <s v="-"/>
    <x v="1"/>
    <n v="0"/>
    <n v="1"/>
    <n v="4"/>
  </r>
  <r>
    <n v="3266"/>
    <s v="Amanda Nogueira"/>
    <x v="1"/>
    <x v="34"/>
    <x v="0"/>
    <n v="5"/>
    <x v="0"/>
    <x v="1"/>
    <s v="-"/>
    <x v="1"/>
    <n v="0"/>
    <n v="0"/>
    <n v="5"/>
  </r>
  <r>
    <n v="3267"/>
    <s v="Bruno Cavalheiro"/>
    <x v="0"/>
    <x v="35"/>
    <x v="1"/>
    <n v="15"/>
    <x v="2"/>
    <x v="0"/>
    <n v="30"/>
    <x v="0"/>
    <n v="20"/>
    <n v="7"/>
    <n v="58"/>
  </r>
  <r>
    <n v="3268"/>
    <s v="Carla Dias"/>
    <x v="2"/>
    <x v="36"/>
    <x v="0"/>
    <n v="10"/>
    <x v="1"/>
    <x v="1"/>
    <s v="-"/>
    <x v="0"/>
    <n v="20"/>
    <n v="10"/>
    <n v="20"/>
  </r>
  <r>
    <n v="3269"/>
    <s v="Diego Fontes"/>
    <x v="1"/>
    <x v="37"/>
    <x v="1"/>
    <n v="5"/>
    <x v="2"/>
    <x v="1"/>
    <s v="-"/>
    <x v="1"/>
    <n v="0"/>
    <n v="1"/>
    <n v="4"/>
  </r>
  <r>
    <n v="3270"/>
    <s v="Eunice Lima"/>
    <x v="0"/>
    <x v="38"/>
    <x v="0"/>
    <n v="15"/>
    <x v="0"/>
    <x v="0"/>
    <n v="30"/>
    <x v="0"/>
    <n v="20"/>
    <n v="15"/>
    <n v="50"/>
  </r>
  <r>
    <n v="3271"/>
    <s v="Fábio Martins"/>
    <x v="2"/>
    <x v="39"/>
    <x v="1"/>
    <n v="10"/>
    <x v="0"/>
    <x v="1"/>
    <s v="-"/>
    <x v="0"/>
    <n v="20"/>
    <n v="5"/>
    <n v="25"/>
  </r>
  <r>
    <n v="3272"/>
    <s v="Gisele Araújo"/>
    <x v="1"/>
    <x v="40"/>
    <x v="0"/>
    <n v="5"/>
    <x v="1"/>
    <x v="1"/>
    <s v="-"/>
    <x v="1"/>
    <n v="0"/>
    <n v="0"/>
    <n v="5"/>
  </r>
  <r>
    <n v="3273"/>
    <s v="Hélio Castro"/>
    <x v="0"/>
    <x v="41"/>
    <x v="1"/>
    <n v="15"/>
    <x v="2"/>
    <x v="0"/>
    <n v="30"/>
    <x v="0"/>
    <n v="20"/>
    <n v="20"/>
    <n v="45"/>
  </r>
  <r>
    <n v="3274"/>
    <s v="Ingrid Menezes"/>
    <x v="2"/>
    <x v="42"/>
    <x v="0"/>
    <n v="10"/>
    <x v="2"/>
    <x v="1"/>
    <s v="-"/>
    <x v="0"/>
    <n v="20"/>
    <n v="12"/>
    <n v="18"/>
  </r>
  <r>
    <n v="3275"/>
    <s v="Jorge Baptista"/>
    <x v="1"/>
    <x v="43"/>
    <x v="1"/>
    <n v="5"/>
    <x v="0"/>
    <x v="1"/>
    <s v="-"/>
    <x v="1"/>
    <n v="0"/>
    <n v="2"/>
    <n v="3"/>
  </r>
  <r>
    <n v="3276"/>
    <s v="Kléber Oliveira"/>
    <x v="0"/>
    <x v="44"/>
    <x v="0"/>
    <n v="15"/>
    <x v="1"/>
    <x v="0"/>
    <n v="30"/>
    <x v="0"/>
    <n v="20"/>
    <n v="5"/>
    <n v="60"/>
  </r>
  <r>
    <n v="3277"/>
    <s v="Luciana Freitas"/>
    <x v="2"/>
    <x v="45"/>
    <x v="1"/>
    <n v="10"/>
    <x v="0"/>
    <x v="1"/>
    <s v="-"/>
    <x v="0"/>
    <n v="20"/>
    <n v="10"/>
    <n v="20"/>
  </r>
  <r>
    <n v="3278"/>
    <s v="Márcia Eller"/>
    <x v="1"/>
    <x v="46"/>
    <x v="0"/>
    <n v="5"/>
    <x v="2"/>
    <x v="1"/>
    <s v="-"/>
    <x v="1"/>
    <n v="0"/>
    <n v="0"/>
    <n v="5"/>
  </r>
  <r>
    <n v="3279"/>
    <s v="Nilo Peçanha"/>
    <x v="0"/>
    <x v="47"/>
    <x v="1"/>
    <n v="15"/>
    <x v="0"/>
    <x v="0"/>
    <n v="30"/>
    <x v="0"/>
    <n v="20"/>
    <n v="3"/>
    <n v="62"/>
  </r>
  <r>
    <n v="3280"/>
    <s v="Oscar Neves"/>
    <x v="2"/>
    <x v="48"/>
    <x v="0"/>
    <n v="10"/>
    <x v="1"/>
    <x v="1"/>
    <s v="-"/>
    <x v="0"/>
    <n v="20"/>
    <n v="15"/>
    <n v="15"/>
  </r>
  <r>
    <n v="3281"/>
    <s v="Patrícia Soares"/>
    <x v="1"/>
    <x v="49"/>
    <x v="1"/>
    <n v="5"/>
    <x v="0"/>
    <x v="1"/>
    <s v="-"/>
    <x v="1"/>
    <n v="0"/>
    <n v="1"/>
    <n v="4"/>
  </r>
  <r>
    <n v="3282"/>
    <s v="Quirino Gonçalves"/>
    <x v="0"/>
    <x v="50"/>
    <x v="0"/>
    <n v="15"/>
    <x v="2"/>
    <x v="0"/>
    <n v="30"/>
    <x v="0"/>
    <n v="20"/>
    <n v="7"/>
    <n v="58"/>
  </r>
  <r>
    <n v="3283"/>
    <s v="Raul Machado"/>
    <x v="2"/>
    <x v="51"/>
    <x v="1"/>
    <n v="10"/>
    <x v="0"/>
    <x v="1"/>
    <s v="-"/>
    <x v="0"/>
    <n v="20"/>
    <n v="10"/>
    <n v="20"/>
  </r>
  <r>
    <n v="3284"/>
    <s v="Sônia Lobo"/>
    <x v="1"/>
    <x v="52"/>
    <x v="0"/>
    <n v="5"/>
    <x v="1"/>
    <x v="1"/>
    <s v="-"/>
    <x v="1"/>
    <n v="0"/>
    <n v="0"/>
    <n v="5"/>
  </r>
  <r>
    <n v="3285"/>
    <s v="Tiago Ramos"/>
    <x v="0"/>
    <x v="53"/>
    <x v="1"/>
    <n v="15"/>
    <x v="0"/>
    <x v="0"/>
    <n v="30"/>
    <x v="0"/>
    <n v="20"/>
    <n v="20"/>
    <n v="45"/>
  </r>
  <r>
    <n v="3286"/>
    <s v="Ugo Pires"/>
    <x v="2"/>
    <x v="54"/>
    <x v="0"/>
    <n v="10"/>
    <x v="2"/>
    <x v="1"/>
    <s v="-"/>
    <x v="0"/>
    <n v="20"/>
    <n v="15"/>
    <n v="15"/>
  </r>
  <r>
    <n v="3287"/>
    <s v="Valéria Nobre"/>
    <x v="1"/>
    <x v="55"/>
    <x v="1"/>
    <n v="5"/>
    <x v="0"/>
    <x v="1"/>
    <s v="-"/>
    <x v="1"/>
    <n v="0"/>
    <n v="1"/>
    <n v="4"/>
  </r>
  <r>
    <n v="3288"/>
    <s v="William Siqueira"/>
    <x v="0"/>
    <x v="56"/>
    <x v="0"/>
    <n v="15"/>
    <x v="1"/>
    <x v="0"/>
    <n v="30"/>
    <x v="0"/>
    <n v="20"/>
    <n v="3"/>
    <n v="62"/>
  </r>
  <r>
    <n v="3289"/>
    <s v="Xuxa Meneghel"/>
    <x v="2"/>
    <x v="57"/>
    <x v="1"/>
    <n v="10"/>
    <x v="0"/>
    <x v="1"/>
    <s v="-"/>
    <x v="0"/>
    <n v="20"/>
    <n v="10"/>
    <n v="20"/>
  </r>
  <r>
    <n v="3290"/>
    <s v="Yara Figueiredo"/>
    <x v="1"/>
    <x v="58"/>
    <x v="0"/>
    <n v="5"/>
    <x v="2"/>
    <x v="1"/>
    <s v="-"/>
    <x v="1"/>
    <n v="0"/>
    <n v="0"/>
    <n v="5"/>
  </r>
  <r>
    <n v="3291"/>
    <s v="Zacarias Alves"/>
    <x v="0"/>
    <x v="59"/>
    <x v="1"/>
    <n v="15"/>
    <x v="0"/>
    <x v="0"/>
    <n v="30"/>
    <x v="0"/>
    <n v="20"/>
    <n v="5"/>
    <n v="60"/>
  </r>
  <r>
    <n v="3292"/>
    <s v="Amanda Bynes"/>
    <x v="2"/>
    <x v="60"/>
    <x v="0"/>
    <n v="10"/>
    <x v="1"/>
    <x v="1"/>
    <s v="-"/>
    <x v="0"/>
    <n v="20"/>
    <n v="15"/>
    <n v="15"/>
  </r>
  <r>
    <n v="3293"/>
    <s v="Bruno Mars"/>
    <x v="1"/>
    <x v="61"/>
    <x v="1"/>
    <n v="5"/>
    <x v="0"/>
    <x v="1"/>
    <s v="-"/>
    <x v="1"/>
    <n v="0"/>
    <n v="1"/>
    <n v="4"/>
  </r>
  <r>
    <n v="3294"/>
    <s v="Carla Bruni"/>
    <x v="0"/>
    <x v="62"/>
    <x v="0"/>
    <n v="15"/>
    <x v="2"/>
    <x v="0"/>
    <n v="30"/>
    <x v="0"/>
    <n v="20"/>
    <n v="20"/>
    <n v="45"/>
  </r>
  <r>
    <n v="3295"/>
    <s v="Diego Maradona"/>
    <x v="2"/>
    <x v="63"/>
    <x v="1"/>
    <n v="10"/>
    <x v="0"/>
    <x v="1"/>
    <s v="-"/>
    <x v="0"/>
    <n v="20"/>
    <n v="5"/>
    <n v="25"/>
  </r>
  <r>
    <n v="3296"/>
    <s v="Estela Marques"/>
    <x v="1"/>
    <x v="64"/>
    <x v="1"/>
    <n v="5"/>
    <x v="0"/>
    <x v="1"/>
    <s v="-"/>
    <x v="1"/>
    <n v="0"/>
    <n v="0"/>
    <n v="5"/>
  </r>
  <r>
    <n v="3297"/>
    <s v="Fábio Nobre"/>
    <x v="0"/>
    <x v="65"/>
    <x v="0"/>
    <n v="15"/>
    <x v="2"/>
    <x v="0"/>
    <n v="30"/>
    <x v="0"/>
    <n v="20"/>
    <n v="7"/>
    <n v="58"/>
  </r>
  <r>
    <n v="3298"/>
    <s v="Gabriel Oliveira"/>
    <x v="2"/>
    <x v="66"/>
    <x v="1"/>
    <n v="10"/>
    <x v="1"/>
    <x v="1"/>
    <s v="-"/>
    <x v="0"/>
    <n v="20"/>
    <n v="10"/>
    <n v="20"/>
  </r>
  <r>
    <n v="3299"/>
    <s v="Helena Santos"/>
    <x v="1"/>
    <x v="67"/>
    <x v="0"/>
    <n v="5"/>
    <x v="2"/>
    <x v="1"/>
    <s v="-"/>
    <x v="1"/>
    <n v="0"/>
    <n v="1"/>
    <n v="4"/>
  </r>
  <r>
    <n v="3300"/>
    <s v="Ivan Carvalho"/>
    <x v="0"/>
    <x v="68"/>
    <x v="1"/>
    <n v="15"/>
    <x v="0"/>
    <x v="0"/>
    <n v="30"/>
    <x v="0"/>
    <n v="20"/>
    <n v="15"/>
    <n v="50"/>
  </r>
  <r>
    <n v="3301"/>
    <s v="Júlia Ferreira"/>
    <x v="2"/>
    <x v="69"/>
    <x v="0"/>
    <n v="10"/>
    <x v="0"/>
    <x v="1"/>
    <s v="-"/>
    <x v="0"/>
    <n v="20"/>
    <n v="5"/>
    <n v="25"/>
  </r>
  <r>
    <n v="3302"/>
    <s v="Karla Alves"/>
    <x v="1"/>
    <x v="70"/>
    <x v="1"/>
    <n v="5"/>
    <x v="1"/>
    <x v="1"/>
    <s v="-"/>
    <x v="1"/>
    <n v="0"/>
    <n v="0"/>
    <n v="5"/>
  </r>
  <r>
    <n v="3303"/>
    <s v="Lucas Mendes"/>
    <x v="0"/>
    <x v="71"/>
    <x v="0"/>
    <n v="15"/>
    <x v="2"/>
    <x v="0"/>
    <n v="30"/>
    <x v="0"/>
    <n v="20"/>
    <n v="20"/>
    <n v="45"/>
  </r>
  <r>
    <n v="3304"/>
    <s v="Mônica Gomes"/>
    <x v="2"/>
    <x v="72"/>
    <x v="1"/>
    <n v="10"/>
    <x v="2"/>
    <x v="1"/>
    <s v="-"/>
    <x v="0"/>
    <n v="20"/>
    <n v="12"/>
    <n v="18"/>
  </r>
  <r>
    <n v="3305"/>
    <s v="Norberto Queiroz"/>
    <x v="1"/>
    <x v="73"/>
    <x v="0"/>
    <n v="5"/>
    <x v="0"/>
    <x v="1"/>
    <s v="-"/>
    <x v="1"/>
    <n v="0"/>
    <n v="2"/>
    <n v="3"/>
  </r>
  <r>
    <n v="3306"/>
    <s v="Otávio Barros"/>
    <x v="0"/>
    <x v="74"/>
    <x v="1"/>
    <n v="15"/>
    <x v="1"/>
    <x v="0"/>
    <n v="30"/>
    <x v="0"/>
    <n v="20"/>
    <n v="5"/>
    <n v="60"/>
  </r>
  <r>
    <n v="3307"/>
    <s v="Paula Vieira"/>
    <x v="2"/>
    <x v="75"/>
    <x v="0"/>
    <n v="10"/>
    <x v="0"/>
    <x v="1"/>
    <s v="-"/>
    <x v="0"/>
    <n v="20"/>
    <n v="10"/>
    <n v="20"/>
  </r>
  <r>
    <n v="3308"/>
    <s v="Quentin Ramos"/>
    <x v="1"/>
    <x v="76"/>
    <x v="1"/>
    <n v="5"/>
    <x v="2"/>
    <x v="1"/>
    <s v="-"/>
    <x v="1"/>
    <n v="0"/>
    <n v="0"/>
    <n v="5"/>
  </r>
  <r>
    <n v="3309"/>
    <s v="Raquel Novaes"/>
    <x v="0"/>
    <x v="77"/>
    <x v="0"/>
    <n v="15"/>
    <x v="0"/>
    <x v="0"/>
    <n v="30"/>
    <x v="0"/>
    <n v="20"/>
    <n v="3"/>
    <n v="62"/>
  </r>
  <r>
    <n v="3310"/>
    <s v="Samantha Lopes"/>
    <x v="2"/>
    <x v="78"/>
    <x v="1"/>
    <n v="10"/>
    <x v="1"/>
    <x v="1"/>
    <s v="-"/>
    <x v="0"/>
    <n v="20"/>
    <n v="15"/>
    <n v="15"/>
  </r>
  <r>
    <n v="3311"/>
    <s v="Tiago Martins"/>
    <x v="1"/>
    <x v="79"/>
    <x v="0"/>
    <n v="5"/>
    <x v="0"/>
    <x v="1"/>
    <s v="-"/>
    <x v="1"/>
    <n v="0"/>
    <n v="1"/>
    <n v="4"/>
  </r>
  <r>
    <n v="3312"/>
    <s v="Ulysses Guimarães"/>
    <x v="0"/>
    <x v="80"/>
    <x v="1"/>
    <n v="15"/>
    <x v="2"/>
    <x v="0"/>
    <n v="30"/>
    <x v="0"/>
    <n v="20"/>
    <n v="7"/>
    <n v="58"/>
  </r>
  <r>
    <n v="3313"/>
    <s v="Vanessa Silva"/>
    <x v="2"/>
    <x v="81"/>
    <x v="0"/>
    <n v="10"/>
    <x v="0"/>
    <x v="1"/>
    <s v="-"/>
    <x v="0"/>
    <n v="20"/>
    <n v="10"/>
    <n v="20"/>
  </r>
  <r>
    <n v="3314"/>
    <s v="William Carneiro"/>
    <x v="1"/>
    <x v="82"/>
    <x v="1"/>
    <n v="5"/>
    <x v="1"/>
    <x v="1"/>
    <s v="-"/>
    <x v="1"/>
    <n v="0"/>
    <n v="0"/>
    <n v="5"/>
  </r>
  <r>
    <n v="3315"/>
    <s v="Ximena Rocha"/>
    <x v="0"/>
    <x v="83"/>
    <x v="0"/>
    <n v="15"/>
    <x v="0"/>
    <x v="0"/>
    <n v="30"/>
    <x v="0"/>
    <n v="20"/>
    <n v="20"/>
    <n v="45"/>
  </r>
  <r>
    <n v="3316"/>
    <s v="Yasmin Figueiredo"/>
    <x v="2"/>
    <x v="84"/>
    <x v="1"/>
    <n v="10"/>
    <x v="2"/>
    <x v="1"/>
    <s v="-"/>
    <x v="0"/>
    <n v="20"/>
    <n v="15"/>
    <n v="15"/>
  </r>
  <r>
    <n v="3317"/>
    <s v="Zara Cunha"/>
    <x v="1"/>
    <x v="85"/>
    <x v="0"/>
    <n v="5"/>
    <x v="0"/>
    <x v="1"/>
    <s v="-"/>
    <x v="1"/>
    <n v="0"/>
    <n v="1"/>
    <n v="4"/>
  </r>
  <r>
    <n v="3318"/>
    <s v="Alan Teixeira"/>
    <x v="0"/>
    <x v="86"/>
    <x v="1"/>
    <n v="15"/>
    <x v="1"/>
    <x v="0"/>
    <n v="30"/>
    <x v="0"/>
    <n v="20"/>
    <n v="3"/>
    <n v="62"/>
  </r>
  <r>
    <n v="3319"/>
    <s v="Bárbara Oliveira"/>
    <x v="2"/>
    <x v="87"/>
    <x v="0"/>
    <n v="10"/>
    <x v="0"/>
    <x v="1"/>
    <s v="-"/>
    <x v="0"/>
    <n v="20"/>
    <n v="10"/>
    <n v="20"/>
  </r>
  <r>
    <n v="3320"/>
    <s v="Carlos Junqueira"/>
    <x v="1"/>
    <x v="88"/>
    <x v="1"/>
    <n v="5"/>
    <x v="2"/>
    <x v="1"/>
    <s v="-"/>
    <x v="1"/>
    <n v="0"/>
    <n v="0"/>
    <n v="5"/>
  </r>
  <r>
    <n v="3321"/>
    <s v="Daniela Moura"/>
    <x v="0"/>
    <x v="89"/>
    <x v="0"/>
    <n v="15"/>
    <x v="0"/>
    <x v="0"/>
    <n v="30"/>
    <x v="0"/>
    <n v="20"/>
    <n v="5"/>
    <n v="60"/>
  </r>
  <r>
    <n v="3322"/>
    <s v="Eduardo Lima"/>
    <x v="2"/>
    <x v="90"/>
    <x v="1"/>
    <n v="10"/>
    <x v="1"/>
    <x v="1"/>
    <s v="-"/>
    <x v="0"/>
    <n v="20"/>
    <n v="15"/>
    <n v="15"/>
  </r>
  <r>
    <n v="3323"/>
    <s v="Fabiana Araújo"/>
    <x v="1"/>
    <x v="91"/>
    <x v="0"/>
    <n v="5"/>
    <x v="0"/>
    <x v="1"/>
    <s v="-"/>
    <x v="1"/>
    <n v="0"/>
    <n v="1"/>
    <n v="4"/>
  </r>
  <r>
    <n v="3324"/>
    <s v="Geraldo Ribeiro"/>
    <x v="0"/>
    <x v="92"/>
    <x v="1"/>
    <n v="15"/>
    <x v="2"/>
    <x v="0"/>
    <n v="30"/>
    <x v="0"/>
    <n v="20"/>
    <n v="20"/>
    <n v="45"/>
  </r>
  <r>
    <n v="3325"/>
    <s v="Héctor Vargas"/>
    <x v="2"/>
    <x v="93"/>
    <x v="0"/>
    <n v="10"/>
    <x v="2"/>
    <x v="1"/>
    <s v="-"/>
    <x v="0"/>
    <n v="20"/>
    <n v="15"/>
    <n v="15"/>
  </r>
  <r>
    <n v="3326"/>
    <s v="Isabela Fonseca"/>
    <x v="1"/>
    <x v="94"/>
    <x v="1"/>
    <n v="5"/>
    <x v="1"/>
    <x v="1"/>
    <s v="-"/>
    <x v="1"/>
    <n v="0"/>
    <n v="0"/>
    <n v="5"/>
  </r>
  <r>
    <n v="3327"/>
    <s v="João Pedro Almeida"/>
    <x v="0"/>
    <x v="95"/>
    <x v="0"/>
    <n v="15"/>
    <x v="0"/>
    <x v="0"/>
    <n v="30"/>
    <x v="0"/>
    <n v="20"/>
    <n v="7"/>
    <n v="58"/>
  </r>
  <r>
    <n v="3328"/>
    <s v="Klara Costa"/>
    <x v="2"/>
    <x v="96"/>
    <x v="1"/>
    <n v="10"/>
    <x v="1"/>
    <x v="1"/>
    <s v="-"/>
    <x v="0"/>
    <n v="20"/>
    <n v="10"/>
    <n v="20"/>
  </r>
  <r>
    <n v="3329"/>
    <s v="Luciana Mendes"/>
    <x v="1"/>
    <x v="97"/>
    <x v="0"/>
    <n v="5"/>
    <x v="2"/>
    <x v="1"/>
    <s v="-"/>
    <x v="1"/>
    <n v="0"/>
    <n v="1"/>
    <n v="4"/>
  </r>
  <r>
    <n v="3330"/>
    <s v="Marcelo Gouveia"/>
    <x v="0"/>
    <x v="98"/>
    <x v="1"/>
    <n v="15"/>
    <x v="0"/>
    <x v="0"/>
    <n v="30"/>
    <x v="0"/>
    <n v="20"/>
    <n v="15"/>
    <n v="50"/>
  </r>
  <r>
    <n v="3331"/>
    <s v="Nívea Borges"/>
    <x v="2"/>
    <x v="99"/>
    <x v="0"/>
    <n v="10"/>
    <x v="0"/>
    <x v="1"/>
    <s v="-"/>
    <x v="0"/>
    <n v="20"/>
    <n v="5"/>
    <n v="25"/>
  </r>
  <r>
    <n v="3332"/>
    <s v="Oscar Nogueira"/>
    <x v="1"/>
    <x v="100"/>
    <x v="1"/>
    <n v="5"/>
    <x v="1"/>
    <x v="1"/>
    <s v="-"/>
    <x v="1"/>
    <n v="0"/>
    <n v="0"/>
    <n v="5"/>
  </r>
  <r>
    <n v="3333"/>
    <s v="Patrícia Alves"/>
    <x v="0"/>
    <x v="101"/>
    <x v="0"/>
    <n v="15"/>
    <x v="2"/>
    <x v="0"/>
    <n v="30"/>
    <x v="0"/>
    <n v="20"/>
    <n v="20"/>
    <n v="45"/>
  </r>
  <r>
    <n v="3334"/>
    <s v="Rafaela Silva"/>
    <x v="2"/>
    <x v="102"/>
    <x v="1"/>
    <n v="10"/>
    <x v="2"/>
    <x v="1"/>
    <s v="-"/>
    <x v="0"/>
    <n v="20"/>
    <n v="12"/>
    <n v="18"/>
  </r>
  <r>
    <n v="3335"/>
    <s v="Samantha Moraes"/>
    <x v="1"/>
    <x v="103"/>
    <x v="0"/>
    <n v="5"/>
    <x v="0"/>
    <x v="1"/>
    <s v="-"/>
    <x v="1"/>
    <n v="0"/>
    <n v="2"/>
    <n v="3"/>
  </r>
  <r>
    <n v="3336"/>
    <s v="Tatiana Rocha"/>
    <x v="1"/>
    <x v="104"/>
    <x v="0"/>
    <n v="5"/>
    <x v="0"/>
    <x v="1"/>
    <s v="-"/>
    <x v="1"/>
    <n v="0"/>
    <n v="0"/>
    <n v="5"/>
  </r>
  <r>
    <n v="3337"/>
    <s v="Ulisses Tavares"/>
    <x v="0"/>
    <x v="105"/>
    <x v="1"/>
    <n v="15"/>
    <x v="2"/>
    <x v="0"/>
    <n v="30"/>
    <x v="0"/>
    <n v="20"/>
    <n v="7"/>
    <n v="58"/>
  </r>
  <r>
    <n v="3338"/>
    <s v="Víctor Lemos"/>
    <x v="2"/>
    <x v="106"/>
    <x v="0"/>
    <n v="10"/>
    <x v="1"/>
    <x v="1"/>
    <s v="-"/>
    <x v="0"/>
    <n v="20"/>
    <n v="10"/>
    <n v="20"/>
  </r>
  <r>
    <n v="3339"/>
    <s v="Wilma Barros"/>
    <x v="1"/>
    <x v="107"/>
    <x v="1"/>
    <n v="5"/>
    <x v="2"/>
    <x v="1"/>
    <s v="-"/>
    <x v="1"/>
    <n v="0"/>
    <n v="1"/>
    <n v="4"/>
  </r>
  <r>
    <n v="3340"/>
    <s v="Xavier Nascimento"/>
    <x v="0"/>
    <x v="108"/>
    <x v="0"/>
    <n v="15"/>
    <x v="0"/>
    <x v="0"/>
    <n v="30"/>
    <x v="0"/>
    <n v="20"/>
    <n v="15"/>
    <n v="50"/>
  </r>
  <r>
    <n v="3341"/>
    <s v="Yago Pereira"/>
    <x v="2"/>
    <x v="109"/>
    <x v="1"/>
    <n v="10"/>
    <x v="0"/>
    <x v="1"/>
    <s v="-"/>
    <x v="0"/>
    <n v="20"/>
    <n v="5"/>
    <n v="25"/>
  </r>
  <r>
    <n v="3342"/>
    <s v="Zilda Ferreira"/>
    <x v="1"/>
    <x v="110"/>
    <x v="0"/>
    <n v="5"/>
    <x v="1"/>
    <x v="1"/>
    <s v="-"/>
    <x v="1"/>
    <n v="0"/>
    <n v="0"/>
    <n v="5"/>
  </r>
  <r>
    <n v="3343"/>
    <s v="Amanda Lopes"/>
    <x v="0"/>
    <x v="111"/>
    <x v="1"/>
    <n v="15"/>
    <x v="2"/>
    <x v="0"/>
    <n v="30"/>
    <x v="0"/>
    <n v="20"/>
    <n v="20"/>
    <n v="45"/>
  </r>
  <r>
    <n v="3344"/>
    <s v="Bruno Miranda"/>
    <x v="2"/>
    <x v="112"/>
    <x v="0"/>
    <n v="10"/>
    <x v="2"/>
    <x v="1"/>
    <s v="-"/>
    <x v="0"/>
    <n v="20"/>
    <n v="12"/>
    <n v="18"/>
  </r>
  <r>
    <n v="3345"/>
    <s v="Célia Torres"/>
    <x v="1"/>
    <x v="113"/>
    <x v="1"/>
    <n v="5"/>
    <x v="0"/>
    <x v="1"/>
    <s v="-"/>
    <x v="1"/>
    <n v="0"/>
    <n v="2"/>
    <n v="3"/>
  </r>
  <r>
    <n v="3346"/>
    <s v="Diogo Souza"/>
    <x v="0"/>
    <x v="114"/>
    <x v="0"/>
    <n v="15"/>
    <x v="1"/>
    <x v="0"/>
    <n v="30"/>
    <x v="0"/>
    <n v="20"/>
    <n v="5"/>
    <n v="60"/>
  </r>
  <r>
    <n v="3347"/>
    <s v="Elisa Castro"/>
    <x v="2"/>
    <x v="115"/>
    <x v="1"/>
    <n v="10"/>
    <x v="0"/>
    <x v="1"/>
    <s v="-"/>
    <x v="0"/>
    <n v="20"/>
    <n v="10"/>
    <n v="20"/>
  </r>
  <r>
    <n v="3348"/>
    <s v="Fátima Lima"/>
    <x v="1"/>
    <x v="116"/>
    <x v="0"/>
    <n v="5"/>
    <x v="2"/>
    <x v="1"/>
    <s v="-"/>
    <x v="1"/>
    <n v="0"/>
    <n v="0"/>
    <n v="5"/>
  </r>
  <r>
    <n v="3349"/>
    <s v="Geraldo Ribeiro"/>
    <x v="0"/>
    <x v="117"/>
    <x v="1"/>
    <n v="15"/>
    <x v="0"/>
    <x v="0"/>
    <n v="30"/>
    <x v="0"/>
    <n v="20"/>
    <n v="3"/>
    <n v="62"/>
  </r>
  <r>
    <n v="3350"/>
    <s v="Hélio Martins"/>
    <x v="2"/>
    <x v="118"/>
    <x v="0"/>
    <n v="10"/>
    <x v="1"/>
    <x v="1"/>
    <s v="-"/>
    <x v="0"/>
    <n v="20"/>
    <n v="15"/>
    <n v="15"/>
  </r>
  <r>
    <n v="3351"/>
    <s v="Íris Santos"/>
    <x v="1"/>
    <x v="119"/>
    <x v="1"/>
    <n v="5"/>
    <x v="0"/>
    <x v="1"/>
    <s v="-"/>
    <x v="1"/>
    <n v="0"/>
    <n v="1"/>
    <n v="4"/>
  </r>
  <r>
    <n v="3352"/>
    <s v="João Marcelo"/>
    <x v="0"/>
    <x v="120"/>
    <x v="0"/>
    <n v="15"/>
    <x v="2"/>
    <x v="0"/>
    <n v="30"/>
    <x v="0"/>
    <n v="20"/>
    <n v="7"/>
    <n v="58"/>
  </r>
  <r>
    <n v="3353"/>
    <s v="Larissa Gomes"/>
    <x v="2"/>
    <x v="121"/>
    <x v="1"/>
    <n v="10"/>
    <x v="0"/>
    <x v="1"/>
    <s v="-"/>
    <x v="0"/>
    <n v="20"/>
    <n v="10"/>
    <n v="20"/>
  </r>
  <r>
    <n v="3354"/>
    <s v="Márcio Silva"/>
    <x v="1"/>
    <x v="122"/>
    <x v="0"/>
    <n v="5"/>
    <x v="1"/>
    <x v="1"/>
    <s v="-"/>
    <x v="1"/>
    <n v="0"/>
    <n v="0"/>
    <n v="5"/>
  </r>
  <r>
    <n v="3355"/>
    <s v="Nadia Costa"/>
    <x v="0"/>
    <x v="123"/>
    <x v="1"/>
    <n v="15"/>
    <x v="0"/>
    <x v="0"/>
    <n v="30"/>
    <x v="0"/>
    <n v="20"/>
    <n v="20"/>
    <n v="45"/>
  </r>
  <r>
    <n v="3356"/>
    <s v="Oscar Almeida"/>
    <x v="2"/>
    <x v="124"/>
    <x v="0"/>
    <n v="10"/>
    <x v="2"/>
    <x v="1"/>
    <s v="-"/>
    <x v="0"/>
    <n v="20"/>
    <n v="15"/>
    <n v="15"/>
  </r>
  <r>
    <n v="3357"/>
    <s v="Patricia Soares"/>
    <x v="1"/>
    <x v="125"/>
    <x v="1"/>
    <n v="5"/>
    <x v="0"/>
    <x v="1"/>
    <s v="-"/>
    <x v="1"/>
    <n v="0"/>
    <n v="1"/>
    <n v="4"/>
  </r>
  <r>
    <n v="3358"/>
    <s v="Quênia Barros"/>
    <x v="0"/>
    <x v="126"/>
    <x v="0"/>
    <n v="15"/>
    <x v="1"/>
    <x v="0"/>
    <n v="30"/>
    <x v="0"/>
    <n v="20"/>
    <n v="3"/>
    <n v="62"/>
  </r>
  <r>
    <n v="3359"/>
    <s v="Rafael Torres"/>
    <x v="2"/>
    <x v="127"/>
    <x v="1"/>
    <n v="10"/>
    <x v="0"/>
    <x v="1"/>
    <s v="-"/>
    <x v="0"/>
    <n v="20"/>
    <n v="10"/>
    <n v="20"/>
  </r>
  <r>
    <n v="3360"/>
    <s v="Silvia Nascimento"/>
    <x v="1"/>
    <x v="128"/>
    <x v="0"/>
    <n v="5"/>
    <x v="2"/>
    <x v="1"/>
    <s v="-"/>
    <x v="1"/>
    <n v="0"/>
    <n v="0"/>
    <n v="5"/>
  </r>
  <r>
    <n v="3361"/>
    <s v="Tiago Mendes"/>
    <x v="0"/>
    <x v="129"/>
    <x v="1"/>
    <n v="15"/>
    <x v="0"/>
    <x v="0"/>
    <n v="30"/>
    <x v="0"/>
    <n v="20"/>
    <n v="15"/>
    <n v="50"/>
  </r>
  <r>
    <n v="3362"/>
    <s v="Ursula Silva"/>
    <x v="2"/>
    <x v="130"/>
    <x v="0"/>
    <n v="10"/>
    <x v="1"/>
    <x v="1"/>
    <s v="-"/>
    <x v="0"/>
    <n v="20"/>
    <n v="15"/>
    <n v="15"/>
  </r>
  <r>
    <n v="3363"/>
    <s v="Vanessa Moraes"/>
    <x v="1"/>
    <x v="131"/>
    <x v="1"/>
    <n v="5"/>
    <x v="0"/>
    <x v="1"/>
    <s v="-"/>
    <x v="1"/>
    <n v="0"/>
    <n v="1"/>
    <n v="4"/>
  </r>
  <r>
    <n v="3364"/>
    <s v="Waldir Junior"/>
    <x v="0"/>
    <x v="132"/>
    <x v="0"/>
    <n v="15"/>
    <x v="2"/>
    <x v="0"/>
    <n v="30"/>
    <x v="0"/>
    <n v="20"/>
    <n v="7"/>
    <n v="58"/>
  </r>
  <r>
    <n v="3365"/>
    <s v="Xavier Lopes"/>
    <x v="2"/>
    <x v="133"/>
    <x v="1"/>
    <n v="10"/>
    <x v="0"/>
    <x v="1"/>
    <s v="-"/>
    <x v="0"/>
    <n v="20"/>
    <n v="10"/>
    <n v="20"/>
  </r>
  <r>
    <n v="3366"/>
    <s v="Yolanda Freitas"/>
    <x v="1"/>
    <x v="134"/>
    <x v="0"/>
    <n v="5"/>
    <x v="0"/>
    <x v="1"/>
    <s v="-"/>
    <x v="1"/>
    <n v="0"/>
    <n v="0"/>
    <n v="5"/>
  </r>
  <r>
    <n v="3367"/>
    <s v="Zacarias Nunes"/>
    <x v="0"/>
    <x v="135"/>
    <x v="1"/>
    <n v="15"/>
    <x v="2"/>
    <x v="0"/>
    <n v="30"/>
    <x v="0"/>
    <n v="20"/>
    <n v="7"/>
    <n v="58"/>
  </r>
  <r>
    <n v="3368"/>
    <s v="Ana Clara Barreto"/>
    <x v="2"/>
    <x v="136"/>
    <x v="0"/>
    <n v="10"/>
    <x v="1"/>
    <x v="1"/>
    <s v="-"/>
    <x v="0"/>
    <n v="20"/>
    <n v="10"/>
    <n v="20"/>
  </r>
  <r>
    <n v="3369"/>
    <s v="Bruno Henrique"/>
    <x v="1"/>
    <x v="137"/>
    <x v="1"/>
    <n v="5"/>
    <x v="2"/>
    <x v="1"/>
    <s v="-"/>
    <x v="1"/>
    <n v="0"/>
    <n v="1"/>
    <n v="4"/>
  </r>
  <r>
    <n v="3370"/>
    <s v="Carlos Eduardo"/>
    <x v="0"/>
    <x v="138"/>
    <x v="0"/>
    <n v="15"/>
    <x v="0"/>
    <x v="0"/>
    <n v="30"/>
    <x v="0"/>
    <n v="20"/>
    <n v="15"/>
    <n v="50"/>
  </r>
  <r>
    <n v="3371"/>
    <s v="Débora Lima"/>
    <x v="2"/>
    <x v="139"/>
    <x v="1"/>
    <n v="10"/>
    <x v="0"/>
    <x v="1"/>
    <s v="-"/>
    <x v="0"/>
    <n v="20"/>
    <n v="5"/>
    <n v="25"/>
  </r>
  <r>
    <n v="3372"/>
    <s v="Elisa Neves"/>
    <x v="1"/>
    <x v="140"/>
    <x v="0"/>
    <n v="5"/>
    <x v="1"/>
    <x v="1"/>
    <s v="-"/>
    <x v="1"/>
    <n v="0"/>
    <n v="0"/>
    <n v="5"/>
  </r>
  <r>
    <n v="3373"/>
    <s v="Fabiano Gomes"/>
    <x v="0"/>
    <x v="141"/>
    <x v="1"/>
    <n v="15"/>
    <x v="2"/>
    <x v="0"/>
    <n v="30"/>
    <x v="0"/>
    <n v="20"/>
    <n v="20"/>
    <n v="45"/>
  </r>
  <r>
    <n v="3374"/>
    <s v="Gisele Oliveira"/>
    <x v="2"/>
    <x v="142"/>
    <x v="0"/>
    <n v="10"/>
    <x v="2"/>
    <x v="1"/>
    <s v="-"/>
    <x v="0"/>
    <n v="20"/>
    <n v="12"/>
    <n v="18"/>
  </r>
  <r>
    <n v="3375"/>
    <s v="Héctor Silva"/>
    <x v="1"/>
    <x v="143"/>
    <x v="1"/>
    <n v="5"/>
    <x v="0"/>
    <x v="1"/>
    <s v="-"/>
    <x v="1"/>
    <n v="0"/>
    <n v="2"/>
    <n v="3"/>
  </r>
  <r>
    <n v="3376"/>
    <s v="Igor Martins"/>
    <x v="0"/>
    <x v="144"/>
    <x v="0"/>
    <n v="15"/>
    <x v="1"/>
    <x v="0"/>
    <n v="30"/>
    <x v="0"/>
    <n v="20"/>
    <n v="5"/>
    <n v="60"/>
  </r>
  <r>
    <n v="3377"/>
    <s v="Joana Figueiredo"/>
    <x v="2"/>
    <x v="145"/>
    <x v="1"/>
    <n v="10"/>
    <x v="0"/>
    <x v="1"/>
    <s v="-"/>
    <x v="0"/>
    <n v="20"/>
    <n v="10"/>
    <n v="20"/>
  </r>
  <r>
    <n v="3378"/>
    <s v="Kleber Machado"/>
    <x v="1"/>
    <x v="146"/>
    <x v="0"/>
    <n v="5"/>
    <x v="2"/>
    <x v="1"/>
    <s v="-"/>
    <x v="1"/>
    <n v="0"/>
    <n v="0"/>
    <n v="5"/>
  </r>
  <r>
    <n v="3379"/>
    <s v="Luciana Santos"/>
    <x v="0"/>
    <x v="147"/>
    <x v="1"/>
    <n v="15"/>
    <x v="0"/>
    <x v="0"/>
    <n v="30"/>
    <x v="0"/>
    <n v="20"/>
    <n v="3"/>
    <n v="62"/>
  </r>
  <r>
    <n v="3380"/>
    <s v="Marcos Teixeira"/>
    <x v="2"/>
    <x v="148"/>
    <x v="0"/>
    <n v="10"/>
    <x v="1"/>
    <x v="1"/>
    <s v="-"/>
    <x v="0"/>
    <n v="20"/>
    <n v="15"/>
    <n v="15"/>
  </r>
  <r>
    <n v="3381"/>
    <s v="Natalia Costa"/>
    <x v="1"/>
    <x v="149"/>
    <x v="1"/>
    <n v="5"/>
    <x v="0"/>
    <x v="1"/>
    <s v="-"/>
    <x v="1"/>
    <n v="0"/>
    <n v="1"/>
    <n v="4"/>
  </r>
  <r>
    <n v="3382"/>
    <s v="Oscar Ribeiro"/>
    <x v="0"/>
    <x v="150"/>
    <x v="0"/>
    <n v="15"/>
    <x v="2"/>
    <x v="0"/>
    <n v="30"/>
    <x v="0"/>
    <n v="20"/>
    <n v="7"/>
    <n v="58"/>
  </r>
  <r>
    <n v="3383"/>
    <s v="Patricia Almeida"/>
    <x v="2"/>
    <x v="151"/>
    <x v="1"/>
    <n v="10"/>
    <x v="0"/>
    <x v="1"/>
    <s v="-"/>
    <x v="0"/>
    <n v="20"/>
    <n v="10"/>
    <n v="20"/>
  </r>
  <r>
    <n v="3384"/>
    <s v="Quirino Junior"/>
    <x v="1"/>
    <x v="152"/>
    <x v="0"/>
    <n v="5"/>
    <x v="1"/>
    <x v="1"/>
    <s v="-"/>
    <x v="1"/>
    <n v="0"/>
    <n v="0"/>
    <n v="5"/>
  </r>
  <r>
    <n v="3385"/>
    <s v="Renata Machado"/>
    <x v="0"/>
    <x v="153"/>
    <x v="1"/>
    <n v="15"/>
    <x v="0"/>
    <x v="0"/>
    <n v="30"/>
    <x v="0"/>
    <n v="20"/>
    <n v="20"/>
    <n v="45"/>
  </r>
  <r>
    <n v="3386"/>
    <s v="Sônia Alves"/>
    <x v="2"/>
    <x v="154"/>
    <x v="0"/>
    <n v="10"/>
    <x v="2"/>
    <x v="1"/>
    <s v="-"/>
    <x v="0"/>
    <n v="20"/>
    <n v="15"/>
    <n v="15"/>
  </r>
  <r>
    <n v="3387"/>
    <s v="Tiago Nunes"/>
    <x v="1"/>
    <x v="155"/>
    <x v="1"/>
    <n v="5"/>
    <x v="0"/>
    <x v="1"/>
    <s v="-"/>
    <x v="1"/>
    <n v="0"/>
    <n v="1"/>
    <n v="4"/>
  </r>
  <r>
    <n v="3388"/>
    <s v="Ulysses Pereira"/>
    <x v="0"/>
    <x v="156"/>
    <x v="0"/>
    <n v="15"/>
    <x v="1"/>
    <x v="0"/>
    <n v="30"/>
    <x v="0"/>
    <n v="20"/>
    <n v="3"/>
    <n v="62"/>
  </r>
  <r>
    <n v="3389"/>
    <s v="Vanessa Lima"/>
    <x v="2"/>
    <x v="157"/>
    <x v="1"/>
    <n v="10"/>
    <x v="0"/>
    <x v="1"/>
    <s v="-"/>
    <x v="0"/>
    <n v="20"/>
    <n v="10"/>
    <n v="20"/>
  </r>
  <r>
    <n v="3390"/>
    <s v="Wagner Santos"/>
    <x v="1"/>
    <x v="158"/>
    <x v="0"/>
    <n v="5"/>
    <x v="2"/>
    <x v="1"/>
    <s v="-"/>
    <x v="1"/>
    <n v="0"/>
    <n v="0"/>
    <n v="5"/>
  </r>
  <r>
    <n v="3391"/>
    <s v="Xuxa Meneghel"/>
    <x v="0"/>
    <x v="159"/>
    <x v="1"/>
    <n v="15"/>
    <x v="0"/>
    <x v="0"/>
    <n v="30"/>
    <x v="0"/>
    <n v="20"/>
    <n v="15"/>
    <n v="50"/>
  </r>
  <r>
    <n v="3392"/>
    <s v="Yasmin Silva"/>
    <x v="2"/>
    <x v="160"/>
    <x v="0"/>
    <n v="10"/>
    <x v="1"/>
    <x v="1"/>
    <s v="-"/>
    <x v="0"/>
    <n v="20"/>
    <n v="15"/>
    <n v="15"/>
  </r>
  <r>
    <n v="3393"/>
    <s v="Zacarias de Souza"/>
    <x v="1"/>
    <x v="161"/>
    <x v="1"/>
    <n v="5"/>
    <x v="0"/>
    <x v="1"/>
    <s v="-"/>
    <x v="1"/>
    <n v="0"/>
    <n v="1"/>
    <n v="4"/>
  </r>
  <r>
    <n v="3394"/>
    <s v="André Lima"/>
    <x v="0"/>
    <x v="162"/>
    <x v="0"/>
    <n v="15"/>
    <x v="2"/>
    <x v="0"/>
    <n v="30"/>
    <x v="0"/>
    <n v="20"/>
    <n v="7"/>
    <n v="58"/>
  </r>
  <r>
    <n v="3395"/>
    <s v="Bianca Freitas"/>
    <x v="2"/>
    <x v="163"/>
    <x v="1"/>
    <n v="10"/>
    <x v="0"/>
    <x v="1"/>
    <s v="-"/>
    <x v="0"/>
    <n v="20"/>
    <n v="10"/>
    <n v="20"/>
  </r>
  <r>
    <n v="3396"/>
    <s v="Caio Mendes"/>
    <x v="1"/>
    <x v="164"/>
    <x v="0"/>
    <n v="5"/>
    <x v="1"/>
    <x v="1"/>
    <s v="-"/>
    <x v="1"/>
    <n v="0"/>
    <n v="0"/>
    <n v="5"/>
  </r>
  <r>
    <n v="3397"/>
    <s v="Daniela Moura"/>
    <x v="0"/>
    <x v="165"/>
    <x v="1"/>
    <n v="15"/>
    <x v="0"/>
    <x v="0"/>
    <n v="30"/>
    <x v="0"/>
    <n v="20"/>
    <n v="20"/>
    <n v="45"/>
  </r>
  <r>
    <n v="3398"/>
    <s v="Eduardo Costa"/>
    <x v="2"/>
    <x v="166"/>
    <x v="0"/>
    <n v="10"/>
    <x v="2"/>
    <x v="1"/>
    <s v="-"/>
    <x v="0"/>
    <n v="20"/>
    <n v="15"/>
    <n v="15"/>
  </r>
  <r>
    <n v="3399"/>
    <s v="Fernanda Gomes"/>
    <x v="1"/>
    <x v="167"/>
    <x v="1"/>
    <n v="5"/>
    <x v="0"/>
    <x v="1"/>
    <s v="-"/>
    <x v="1"/>
    <n v="0"/>
    <n v="1"/>
    <n v="4"/>
  </r>
  <r>
    <n v="3400"/>
    <s v="Guilherme Souza"/>
    <x v="0"/>
    <x v="168"/>
    <x v="0"/>
    <n v="15"/>
    <x v="1"/>
    <x v="0"/>
    <n v="30"/>
    <x v="0"/>
    <n v="20"/>
    <n v="5"/>
    <n v="60"/>
  </r>
  <r>
    <n v="3401"/>
    <s v="Helena Ribeiro"/>
    <x v="2"/>
    <x v="169"/>
    <x v="1"/>
    <n v="10"/>
    <x v="0"/>
    <x v="1"/>
    <s v="-"/>
    <x v="0"/>
    <n v="20"/>
    <n v="10"/>
    <n v="20"/>
  </r>
  <r>
    <n v="3402"/>
    <s v="Igor Santos"/>
    <x v="1"/>
    <x v="170"/>
    <x v="0"/>
    <n v="5"/>
    <x v="2"/>
    <x v="1"/>
    <s v="-"/>
    <x v="1"/>
    <n v="0"/>
    <n v="0"/>
    <n v="5"/>
  </r>
  <r>
    <n v="3403"/>
    <s v="João Carvalho"/>
    <x v="0"/>
    <x v="171"/>
    <x v="1"/>
    <n v="15"/>
    <x v="0"/>
    <x v="0"/>
    <n v="30"/>
    <x v="0"/>
    <n v="20"/>
    <n v="3"/>
    <n v="62"/>
  </r>
  <r>
    <n v="3404"/>
    <s v="Klara Fagundes"/>
    <x v="2"/>
    <x v="172"/>
    <x v="0"/>
    <n v="10"/>
    <x v="1"/>
    <x v="1"/>
    <s v="-"/>
    <x v="0"/>
    <n v="20"/>
    <n v="15"/>
    <n v="15"/>
  </r>
  <r>
    <n v="3405"/>
    <s v="Lúcia Mendonça"/>
    <x v="1"/>
    <x v="173"/>
    <x v="1"/>
    <n v="5"/>
    <x v="0"/>
    <x v="1"/>
    <s v="-"/>
    <x v="1"/>
    <n v="0"/>
    <n v="1"/>
    <n v="4"/>
  </r>
  <r>
    <n v="3406"/>
    <s v="Marcelo Novaes"/>
    <x v="1"/>
    <x v="174"/>
    <x v="0"/>
    <n v="5"/>
    <x v="0"/>
    <x v="1"/>
    <s v="-"/>
    <x v="1"/>
    <n v="0"/>
    <n v="0"/>
    <n v="5"/>
  </r>
  <r>
    <n v="3407"/>
    <s v="Nina Pacheco"/>
    <x v="0"/>
    <x v="175"/>
    <x v="1"/>
    <n v="15"/>
    <x v="2"/>
    <x v="0"/>
    <n v="30"/>
    <x v="0"/>
    <n v="20"/>
    <n v="7"/>
    <n v="58"/>
  </r>
  <r>
    <n v="3408"/>
    <s v="Olívia Rios"/>
    <x v="2"/>
    <x v="176"/>
    <x v="0"/>
    <n v="10"/>
    <x v="1"/>
    <x v="1"/>
    <s v="-"/>
    <x v="0"/>
    <n v="20"/>
    <n v="10"/>
    <n v="20"/>
  </r>
  <r>
    <n v="3409"/>
    <s v="Paulo Quintana"/>
    <x v="1"/>
    <x v="177"/>
    <x v="1"/>
    <n v="5"/>
    <x v="2"/>
    <x v="1"/>
    <s v="-"/>
    <x v="1"/>
    <n v="0"/>
    <n v="1"/>
    <n v="4"/>
  </r>
  <r>
    <n v="3410"/>
    <s v="Raquel Domingos"/>
    <x v="0"/>
    <x v="178"/>
    <x v="0"/>
    <n v="15"/>
    <x v="0"/>
    <x v="0"/>
    <n v="30"/>
    <x v="0"/>
    <n v="20"/>
    <n v="15"/>
    <n v="50"/>
  </r>
  <r>
    <n v="3411"/>
    <s v="Samuel Viana"/>
    <x v="2"/>
    <x v="179"/>
    <x v="1"/>
    <n v="10"/>
    <x v="0"/>
    <x v="1"/>
    <s v="-"/>
    <x v="0"/>
    <n v="20"/>
    <n v="5"/>
    <n v="25"/>
  </r>
  <r>
    <n v="3412"/>
    <s v="Tatiane Rocha"/>
    <x v="1"/>
    <x v="180"/>
    <x v="0"/>
    <n v="5"/>
    <x v="1"/>
    <x v="1"/>
    <s v="-"/>
    <x v="1"/>
    <n v="0"/>
    <n v="0"/>
    <n v="5"/>
  </r>
  <r>
    <n v="3413"/>
    <s v="Ulysses Farias"/>
    <x v="0"/>
    <x v="181"/>
    <x v="1"/>
    <n v="15"/>
    <x v="2"/>
    <x v="0"/>
    <n v="30"/>
    <x v="0"/>
    <n v="20"/>
    <n v="20"/>
    <n v="45"/>
  </r>
  <r>
    <n v="3414"/>
    <s v="Vanessa Moreira"/>
    <x v="2"/>
    <x v="182"/>
    <x v="0"/>
    <n v="10"/>
    <x v="2"/>
    <x v="1"/>
    <s v="-"/>
    <x v="0"/>
    <n v="20"/>
    <n v="12"/>
    <n v="18"/>
  </r>
  <r>
    <n v="3415"/>
    <s v="William Carvalho"/>
    <x v="1"/>
    <x v="183"/>
    <x v="1"/>
    <n v="5"/>
    <x v="0"/>
    <x v="1"/>
    <s v="-"/>
    <x v="1"/>
    <n v="0"/>
    <n v="2"/>
    <n v="3"/>
  </r>
  <r>
    <n v="3416"/>
    <s v="Ximena Barros"/>
    <x v="0"/>
    <x v="184"/>
    <x v="0"/>
    <n v="15"/>
    <x v="1"/>
    <x v="0"/>
    <n v="30"/>
    <x v="0"/>
    <n v="20"/>
    <n v="5"/>
    <n v="60"/>
  </r>
  <r>
    <n v="3417"/>
    <s v="Yara Machado"/>
    <x v="2"/>
    <x v="185"/>
    <x v="1"/>
    <n v="10"/>
    <x v="0"/>
    <x v="1"/>
    <s v="-"/>
    <x v="0"/>
    <n v="20"/>
    <n v="10"/>
    <n v="20"/>
  </r>
  <r>
    <n v="3418"/>
    <s v="Zacarias Costa"/>
    <x v="1"/>
    <x v="186"/>
    <x v="0"/>
    <n v="5"/>
    <x v="2"/>
    <x v="1"/>
    <s v="-"/>
    <x v="1"/>
    <n v="0"/>
    <n v="0"/>
    <n v="5"/>
  </r>
  <r>
    <n v="3419"/>
    <s v="André Lopes"/>
    <x v="0"/>
    <x v="187"/>
    <x v="1"/>
    <n v="15"/>
    <x v="0"/>
    <x v="0"/>
    <n v="30"/>
    <x v="0"/>
    <n v="20"/>
    <n v="3"/>
    <n v="62"/>
  </r>
  <r>
    <n v="3420"/>
    <s v="Beatriz Souza"/>
    <x v="2"/>
    <x v="188"/>
    <x v="0"/>
    <n v="10"/>
    <x v="1"/>
    <x v="1"/>
    <s v="-"/>
    <x v="0"/>
    <n v="20"/>
    <n v="15"/>
    <n v="15"/>
  </r>
  <r>
    <n v="3421"/>
    <s v="Caio Pereira"/>
    <x v="1"/>
    <x v="189"/>
    <x v="1"/>
    <n v="5"/>
    <x v="0"/>
    <x v="1"/>
    <s v="-"/>
    <x v="1"/>
    <n v="0"/>
    <n v="1"/>
    <n v="4"/>
  </r>
  <r>
    <n v="3422"/>
    <s v="Daniela Araújo"/>
    <x v="0"/>
    <x v="190"/>
    <x v="0"/>
    <n v="15"/>
    <x v="2"/>
    <x v="0"/>
    <n v="30"/>
    <x v="0"/>
    <n v="20"/>
    <n v="7"/>
    <n v="58"/>
  </r>
  <r>
    <n v="3423"/>
    <s v="Eduardo Santos"/>
    <x v="2"/>
    <x v="191"/>
    <x v="1"/>
    <n v="10"/>
    <x v="0"/>
    <x v="1"/>
    <s v="-"/>
    <x v="0"/>
    <n v="20"/>
    <n v="10"/>
    <n v="20"/>
  </r>
  <r>
    <n v="3424"/>
    <s v="Fernanda Lima"/>
    <x v="1"/>
    <x v="192"/>
    <x v="0"/>
    <n v="5"/>
    <x v="1"/>
    <x v="1"/>
    <s v="-"/>
    <x v="1"/>
    <n v="0"/>
    <n v="0"/>
    <n v="5"/>
  </r>
  <r>
    <n v="3425"/>
    <s v="Gabriel Teixeira"/>
    <x v="0"/>
    <x v="193"/>
    <x v="1"/>
    <n v="15"/>
    <x v="0"/>
    <x v="0"/>
    <n v="30"/>
    <x v="0"/>
    <n v="20"/>
    <n v="20"/>
    <n v="45"/>
  </r>
  <r>
    <n v="3426"/>
    <s v="Helena Ribeiro"/>
    <x v="2"/>
    <x v="194"/>
    <x v="0"/>
    <n v="10"/>
    <x v="2"/>
    <x v="1"/>
    <s v="-"/>
    <x v="0"/>
    <n v="20"/>
    <n v="15"/>
    <n v="15"/>
  </r>
  <r>
    <n v="3427"/>
    <s v="Igor Mendes"/>
    <x v="1"/>
    <x v="195"/>
    <x v="1"/>
    <n v="5"/>
    <x v="0"/>
    <x v="1"/>
    <s v="-"/>
    <x v="1"/>
    <n v="0"/>
    <n v="1"/>
    <n v="4"/>
  </r>
  <r>
    <n v="3428"/>
    <s v="Joana Silveira"/>
    <x v="0"/>
    <x v="196"/>
    <x v="0"/>
    <n v="15"/>
    <x v="1"/>
    <x v="0"/>
    <n v="30"/>
    <x v="0"/>
    <n v="20"/>
    <n v="3"/>
    <n v="62"/>
  </r>
  <r>
    <n v="3429"/>
    <s v="Lucas Martins"/>
    <x v="2"/>
    <x v="197"/>
    <x v="1"/>
    <n v="10"/>
    <x v="0"/>
    <x v="1"/>
    <s v="-"/>
    <x v="0"/>
    <n v="20"/>
    <n v="10"/>
    <n v="20"/>
  </r>
  <r>
    <n v="3430"/>
    <s v="Marcela Gouveia"/>
    <x v="1"/>
    <x v="198"/>
    <x v="0"/>
    <n v="5"/>
    <x v="2"/>
    <x v="1"/>
    <s v="-"/>
    <x v="1"/>
    <n v="0"/>
    <n v="0"/>
    <n v="5"/>
  </r>
  <r>
    <n v="3431"/>
    <s v="Nicolas Borges"/>
    <x v="0"/>
    <x v="199"/>
    <x v="1"/>
    <n v="15"/>
    <x v="0"/>
    <x v="0"/>
    <n v="30"/>
    <x v="0"/>
    <n v="20"/>
    <n v="15"/>
    <n v="50"/>
  </r>
  <r>
    <n v="3432"/>
    <s v="Olivia Freitas"/>
    <x v="2"/>
    <x v="200"/>
    <x v="0"/>
    <n v="10"/>
    <x v="1"/>
    <x v="1"/>
    <s v="-"/>
    <x v="0"/>
    <n v="20"/>
    <n v="15"/>
    <n v="15"/>
  </r>
  <r>
    <n v="3433"/>
    <s v="Paulo Nogueira"/>
    <x v="1"/>
    <x v="201"/>
    <x v="1"/>
    <n v="5"/>
    <x v="0"/>
    <x v="1"/>
    <s v="-"/>
    <x v="1"/>
    <n v="0"/>
    <n v="1"/>
    <n v="4"/>
  </r>
  <r>
    <n v="3434"/>
    <s v="Raquel Andrade"/>
    <x v="0"/>
    <x v="202"/>
    <x v="0"/>
    <n v="15"/>
    <x v="2"/>
    <x v="0"/>
    <n v="30"/>
    <x v="0"/>
    <n v="20"/>
    <n v="7"/>
    <n v="58"/>
  </r>
  <r>
    <n v="3435"/>
    <s v="Sônia Carvalho"/>
    <x v="2"/>
    <x v="203"/>
    <x v="1"/>
    <n v="10"/>
    <x v="0"/>
    <x v="1"/>
    <s v="-"/>
    <x v="0"/>
    <n v="20"/>
    <n v="10"/>
    <n v="20"/>
  </r>
  <r>
    <n v="3436"/>
    <s v="Tiago Rodrigues"/>
    <x v="1"/>
    <x v="204"/>
    <x v="0"/>
    <n v="5"/>
    <x v="0"/>
    <x v="1"/>
    <s v="-"/>
    <x v="1"/>
    <n v="0"/>
    <n v="0"/>
    <n v="5"/>
  </r>
  <r>
    <n v="3437"/>
    <s v="Ursula Monteiro"/>
    <x v="0"/>
    <x v="205"/>
    <x v="1"/>
    <n v="15"/>
    <x v="2"/>
    <x v="0"/>
    <n v="30"/>
    <x v="0"/>
    <n v="20"/>
    <n v="7"/>
    <n v="58"/>
  </r>
  <r>
    <n v="3438"/>
    <s v="Vanessa Pereira"/>
    <x v="2"/>
    <x v="206"/>
    <x v="0"/>
    <n v="10"/>
    <x v="1"/>
    <x v="1"/>
    <s v="-"/>
    <x v="0"/>
    <n v="20"/>
    <n v="10"/>
    <n v="20"/>
  </r>
  <r>
    <n v="3439"/>
    <s v="Walter Silva"/>
    <x v="1"/>
    <x v="207"/>
    <x v="1"/>
    <n v="5"/>
    <x v="2"/>
    <x v="1"/>
    <s v="-"/>
    <x v="1"/>
    <n v="0"/>
    <n v="1"/>
    <n v="4"/>
  </r>
  <r>
    <n v="3440"/>
    <s v="Xavier Almeida"/>
    <x v="0"/>
    <x v="208"/>
    <x v="0"/>
    <n v="15"/>
    <x v="0"/>
    <x v="0"/>
    <n v="30"/>
    <x v="0"/>
    <n v="20"/>
    <n v="15"/>
    <n v="50"/>
  </r>
  <r>
    <n v="3441"/>
    <s v="Yasmine Correia"/>
    <x v="2"/>
    <x v="209"/>
    <x v="1"/>
    <n v="10"/>
    <x v="0"/>
    <x v="1"/>
    <s v="-"/>
    <x v="0"/>
    <n v="20"/>
    <n v="5"/>
    <n v="25"/>
  </r>
  <r>
    <n v="3442"/>
    <s v="Zacarias Almeida"/>
    <x v="1"/>
    <x v="210"/>
    <x v="0"/>
    <n v="5"/>
    <x v="1"/>
    <x v="1"/>
    <s v="-"/>
    <x v="1"/>
    <n v="0"/>
    <n v="0"/>
    <n v="5"/>
  </r>
  <r>
    <n v="3443"/>
    <s v="Amanda Costa"/>
    <x v="0"/>
    <x v="211"/>
    <x v="1"/>
    <n v="15"/>
    <x v="2"/>
    <x v="0"/>
    <n v="30"/>
    <x v="0"/>
    <n v="20"/>
    <n v="20"/>
    <n v="45"/>
  </r>
  <r>
    <n v="3444"/>
    <s v="Bruno Ferreira"/>
    <x v="2"/>
    <x v="212"/>
    <x v="0"/>
    <n v="10"/>
    <x v="2"/>
    <x v="1"/>
    <s v="-"/>
    <x v="0"/>
    <n v="20"/>
    <n v="12"/>
    <n v="18"/>
  </r>
  <r>
    <n v="3445"/>
    <s v="Carla Dias"/>
    <x v="1"/>
    <x v="213"/>
    <x v="1"/>
    <n v="5"/>
    <x v="0"/>
    <x v="1"/>
    <s v="-"/>
    <x v="1"/>
    <n v="0"/>
    <n v="2"/>
    <n v="3"/>
  </r>
  <r>
    <n v="3446"/>
    <s v="Diogo Martins"/>
    <x v="0"/>
    <x v="214"/>
    <x v="0"/>
    <n v="15"/>
    <x v="1"/>
    <x v="0"/>
    <n v="30"/>
    <x v="0"/>
    <n v="20"/>
    <n v="5"/>
    <n v="60"/>
  </r>
  <r>
    <n v="3447"/>
    <s v="Elisa Campos"/>
    <x v="2"/>
    <x v="215"/>
    <x v="1"/>
    <n v="10"/>
    <x v="0"/>
    <x v="1"/>
    <s v="-"/>
    <x v="0"/>
    <n v="20"/>
    <n v="10"/>
    <n v="20"/>
  </r>
  <r>
    <n v="3448"/>
    <s v="Fabiana Lima"/>
    <x v="1"/>
    <x v="216"/>
    <x v="0"/>
    <n v="5"/>
    <x v="2"/>
    <x v="1"/>
    <s v="-"/>
    <x v="1"/>
    <n v="0"/>
    <n v="0"/>
    <n v="5"/>
  </r>
  <r>
    <n v="3449"/>
    <s v="Gabriel Santos"/>
    <x v="0"/>
    <x v="217"/>
    <x v="1"/>
    <n v="15"/>
    <x v="0"/>
    <x v="0"/>
    <n v="30"/>
    <x v="0"/>
    <n v="20"/>
    <n v="3"/>
    <n v="62"/>
  </r>
  <r>
    <n v="3450"/>
    <s v="Helena Ferreira"/>
    <x v="2"/>
    <x v="218"/>
    <x v="0"/>
    <n v="10"/>
    <x v="1"/>
    <x v="1"/>
    <s v="-"/>
    <x v="0"/>
    <n v="20"/>
    <n v="15"/>
    <n v="15"/>
  </r>
  <r>
    <n v="3451"/>
    <s v="Ígor Nunes"/>
    <x v="1"/>
    <x v="219"/>
    <x v="1"/>
    <n v="5"/>
    <x v="0"/>
    <x v="1"/>
    <s v="-"/>
    <x v="1"/>
    <n v="0"/>
    <n v="1"/>
    <n v="4"/>
  </r>
  <r>
    <n v="3452"/>
    <s v="Joana Silveira"/>
    <x v="0"/>
    <x v="220"/>
    <x v="0"/>
    <n v="15"/>
    <x v="2"/>
    <x v="0"/>
    <n v="30"/>
    <x v="0"/>
    <n v="20"/>
    <n v="7"/>
    <n v="58"/>
  </r>
  <r>
    <n v="3453"/>
    <s v="Kléber Oliveira"/>
    <x v="2"/>
    <x v="221"/>
    <x v="1"/>
    <n v="10"/>
    <x v="0"/>
    <x v="1"/>
    <s v="-"/>
    <x v="0"/>
    <n v="20"/>
    <n v="10"/>
    <n v="20"/>
  </r>
  <r>
    <n v="3454"/>
    <s v="Luciana Morais"/>
    <x v="1"/>
    <x v="222"/>
    <x v="0"/>
    <n v="5"/>
    <x v="1"/>
    <x v="1"/>
    <s v="-"/>
    <x v="1"/>
    <n v="0"/>
    <n v="0"/>
    <n v="5"/>
  </r>
  <r>
    <n v="3455"/>
    <s v="Marcos Vinícius"/>
    <x v="0"/>
    <x v="223"/>
    <x v="1"/>
    <n v="15"/>
    <x v="0"/>
    <x v="0"/>
    <n v="30"/>
    <x v="0"/>
    <n v="20"/>
    <n v="20"/>
    <n v="45"/>
  </r>
  <r>
    <n v="3456"/>
    <s v="Natália Barros"/>
    <x v="2"/>
    <x v="224"/>
    <x v="0"/>
    <n v="10"/>
    <x v="2"/>
    <x v="1"/>
    <s v="-"/>
    <x v="0"/>
    <n v="20"/>
    <n v="15"/>
    <n v="15"/>
  </r>
  <r>
    <n v="3457"/>
    <s v="Oscar Sampaio"/>
    <x v="1"/>
    <x v="225"/>
    <x v="1"/>
    <n v="5"/>
    <x v="0"/>
    <x v="1"/>
    <s v="-"/>
    <x v="1"/>
    <n v="0"/>
    <n v="1"/>
    <n v="4"/>
  </r>
  <r>
    <n v="3458"/>
    <s v="Patrícia Leite"/>
    <x v="0"/>
    <x v="226"/>
    <x v="0"/>
    <n v="15"/>
    <x v="1"/>
    <x v="0"/>
    <n v="30"/>
    <x v="0"/>
    <n v="20"/>
    <n v="3"/>
    <n v="62"/>
  </r>
  <r>
    <n v="3459"/>
    <s v="Quênia Rocha"/>
    <x v="2"/>
    <x v="227"/>
    <x v="1"/>
    <n v="10"/>
    <x v="0"/>
    <x v="1"/>
    <s v="-"/>
    <x v="0"/>
    <n v="20"/>
    <n v="10"/>
    <n v="20"/>
  </r>
  <r>
    <n v="3460"/>
    <s v="Rafael Torres"/>
    <x v="1"/>
    <x v="228"/>
    <x v="0"/>
    <n v="5"/>
    <x v="2"/>
    <x v="1"/>
    <s v="-"/>
    <x v="1"/>
    <n v="0"/>
    <n v="0"/>
    <n v="5"/>
  </r>
  <r>
    <n v="3461"/>
    <s v="Sandra Gouveia"/>
    <x v="0"/>
    <x v="229"/>
    <x v="1"/>
    <n v="15"/>
    <x v="0"/>
    <x v="0"/>
    <n v="30"/>
    <x v="0"/>
    <n v="20"/>
    <n v="15"/>
    <n v="50"/>
  </r>
  <r>
    <n v="3462"/>
    <s v="Tiago Lacerda"/>
    <x v="2"/>
    <x v="230"/>
    <x v="0"/>
    <n v="10"/>
    <x v="1"/>
    <x v="1"/>
    <s v="-"/>
    <x v="0"/>
    <n v="20"/>
    <n v="15"/>
    <n v="15"/>
  </r>
  <r>
    <n v="3463"/>
    <s v="Ursula Fonseca"/>
    <x v="1"/>
    <x v="231"/>
    <x v="1"/>
    <n v="5"/>
    <x v="0"/>
    <x v="1"/>
    <s v="-"/>
    <x v="1"/>
    <n v="0"/>
    <n v="1"/>
    <n v="4"/>
  </r>
  <r>
    <n v="3464"/>
    <s v="Vanessa Andrade"/>
    <x v="0"/>
    <x v="232"/>
    <x v="0"/>
    <n v="15"/>
    <x v="2"/>
    <x v="0"/>
    <n v="30"/>
    <x v="0"/>
    <n v="20"/>
    <n v="7"/>
    <n v="58"/>
  </r>
  <r>
    <n v="3465"/>
    <s v="William Castro"/>
    <x v="2"/>
    <x v="233"/>
    <x v="1"/>
    <n v="10"/>
    <x v="0"/>
    <x v="1"/>
    <s v="-"/>
    <x v="0"/>
    <n v="20"/>
    <n v="10"/>
    <n v="20"/>
  </r>
  <r>
    <n v="3466"/>
    <s v="Xavier Monteiro"/>
    <x v="1"/>
    <x v="234"/>
    <x v="0"/>
    <n v="5"/>
    <x v="1"/>
    <x v="1"/>
    <s v="-"/>
    <x v="1"/>
    <n v="0"/>
    <n v="0"/>
    <n v="5"/>
  </r>
  <r>
    <n v="3467"/>
    <s v="Yasmin Figueira"/>
    <x v="0"/>
    <x v="235"/>
    <x v="1"/>
    <n v="15"/>
    <x v="0"/>
    <x v="0"/>
    <n v="30"/>
    <x v="0"/>
    <n v="20"/>
    <n v="15"/>
    <n v="50"/>
  </r>
  <r>
    <n v="3468"/>
    <s v="Zacarias Mendonça"/>
    <x v="2"/>
    <x v="236"/>
    <x v="0"/>
    <n v="10"/>
    <x v="2"/>
    <x v="1"/>
    <s v="-"/>
    <x v="0"/>
    <n v="20"/>
    <n v="12"/>
    <n v="18"/>
  </r>
  <r>
    <n v="3469"/>
    <s v="Amanda Menezes"/>
    <x v="1"/>
    <x v="237"/>
    <x v="1"/>
    <n v="5"/>
    <x v="0"/>
    <x v="1"/>
    <s v="-"/>
    <x v="1"/>
    <n v="0"/>
    <n v="2"/>
    <n v="3"/>
  </r>
  <r>
    <n v="3470"/>
    <s v="Bruno Santos"/>
    <x v="0"/>
    <x v="238"/>
    <x v="0"/>
    <n v="15"/>
    <x v="1"/>
    <x v="0"/>
    <n v="30"/>
    <x v="0"/>
    <n v="20"/>
    <n v="5"/>
    <n v="60"/>
  </r>
  <r>
    <n v="3471"/>
    <s v="Carla Ferreira"/>
    <x v="2"/>
    <x v="239"/>
    <x v="1"/>
    <n v="10"/>
    <x v="0"/>
    <x v="1"/>
    <s v="-"/>
    <x v="0"/>
    <n v="20"/>
    <n v="10"/>
    <n v="20"/>
  </r>
  <r>
    <n v="3472"/>
    <s v="Diogo Alves"/>
    <x v="1"/>
    <x v="240"/>
    <x v="0"/>
    <n v="5"/>
    <x v="2"/>
    <x v="1"/>
    <s v="-"/>
    <x v="1"/>
    <n v="0"/>
    <n v="0"/>
    <n v="5"/>
  </r>
  <r>
    <n v="3473"/>
    <s v="Elisa Neves"/>
    <x v="0"/>
    <x v="241"/>
    <x v="1"/>
    <n v="15"/>
    <x v="0"/>
    <x v="0"/>
    <n v="30"/>
    <x v="0"/>
    <n v="20"/>
    <n v="3"/>
    <n v="62"/>
  </r>
  <r>
    <n v="3474"/>
    <s v="Fabiano Pires"/>
    <x v="2"/>
    <x v="242"/>
    <x v="0"/>
    <n v="10"/>
    <x v="1"/>
    <x v="1"/>
    <s v="-"/>
    <x v="0"/>
    <n v="20"/>
    <n v="15"/>
    <n v="15"/>
  </r>
  <r>
    <n v="3475"/>
    <s v="Giovana Ribeiro"/>
    <x v="1"/>
    <x v="243"/>
    <x v="1"/>
    <n v="5"/>
    <x v="0"/>
    <x v="1"/>
    <s v="-"/>
    <x v="1"/>
    <n v="0"/>
    <n v="1"/>
    <n v="4"/>
  </r>
  <r>
    <n v="3476"/>
    <s v="Hélio Costa"/>
    <x v="0"/>
    <x v="244"/>
    <x v="0"/>
    <n v="15"/>
    <x v="2"/>
    <x v="0"/>
    <n v="30"/>
    <x v="0"/>
    <n v="20"/>
    <n v="7"/>
    <n v="58"/>
  </r>
  <r>
    <n v="3477"/>
    <s v="Íris Loureiro"/>
    <x v="2"/>
    <x v="245"/>
    <x v="1"/>
    <n v="10"/>
    <x v="0"/>
    <x v="1"/>
    <s v="-"/>
    <x v="0"/>
    <n v="20"/>
    <n v="10"/>
    <n v="20"/>
  </r>
  <r>
    <n v="3478"/>
    <s v="João Pereira"/>
    <x v="1"/>
    <x v="246"/>
    <x v="0"/>
    <n v="5"/>
    <x v="1"/>
    <x v="1"/>
    <s v="-"/>
    <x v="1"/>
    <n v="0"/>
    <n v="0"/>
    <n v="5"/>
  </r>
  <r>
    <n v="3479"/>
    <s v="Klara Silva"/>
    <x v="0"/>
    <x v="247"/>
    <x v="1"/>
    <n v="15"/>
    <x v="0"/>
    <x v="0"/>
    <n v="30"/>
    <x v="0"/>
    <n v="20"/>
    <n v="20"/>
    <n v="45"/>
  </r>
  <r>
    <n v="3480"/>
    <s v="Luciana Barros"/>
    <x v="2"/>
    <x v="248"/>
    <x v="0"/>
    <n v="10"/>
    <x v="2"/>
    <x v="1"/>
    <s v="-"/>
    <x v="0"/>
    <n v="20"/>
    <n v="15"/>
    <n v="15"/>
  </r>
  <r>
    <n v="3481"/>
    <s v="Marcos Gomes"/>
    <x v="1"/>
    <x v="249"/>
    <x v="1"/>
    <n v="5"/>
    <x v="0"/>
    <x v="1"/>
    <s v="-"/>
    <x v="1"/>
    <n v="0"/>
    <n v="1"/>
    <n v="4"/>
  </r>
  <r>
    <n v="3482"/>
    <s v="Natália Soares"/>
    <x v="0"/>
    <x v="250"/>
    <x v="0"/>
    <n v="15"/>
    <x v="1"/>
    <x v="0"/>
    <n v="30"/>
    <x v="0"/>
    <n v="20"/>
    <n v="3"/>
    <n v="62"/>
  </r>
  <r>
    <n v="3483"/>
    <s v="Oscar Machado"/>
    <x v="2"/>
    <x v="251"/>
    <x v="1"/>
    <n v="10"/>
    <x v="0"/>
    <x v="1"/>
    <s v="-"/>
    <x v="0"/>
    <n v="20"/>
    <n v="10"/>
    <n v="20"/>
  </r>
  <r>
    <n v="3484"/>
    <s v="Patrícia Lima"/>
    <x v="1"/>
    <x v="252"/>
    <x v="0"/>
    <n v="5"/>
    <x v="2"/>
    <x v="1"/>
    <s v="-"/>
    <x v="1"/>
    <n v="0"/>
    <n v="0"/>
    <n v="5"/>
  </r>
  <r>
    <n v="3485"/>
    <s v="Quirino Neto"/>
    <x v="0"/>
    <x v="253"/>
    <x v="1"/>
    <n v="15"/>
    <x v="0"/>
    <x v="0"/>
    <n v="30"/>
    <x v="0"/>
    <n v="20"/>
    <n v="15"/>
    <n v="50"/>
  </r>
  <r>
    <n v="3486"/>
    <s v="Rafaela Souza"/>
    <x v="1"/>
    <x v="254"/>
    <x v="0"/>
    <n v="5"/>
    <x v="0"/>
    <x v="1"/>
    <s v="-"/>
    <x v="1"/>
    <n v="0"/>
    <n v="0"/>
    <n v="5"/>
  </r>
  <r>
    <n v="3487"/>
    <s v="Sandro Almeida"/>
    <x v="0"/>
    <x v="255"/>
    <x v="1"/>
    <n v="15"/>
    <x v="2"/>
    <x v="0"/>
    <n v="30"/>
    <x v="0"/>
    <n v="20"/>
    <n v="7"/>
    <n v="58"/>
  </r>
  <r>
    <n v="3488"/>
    <s v="Tânia Ribeiro"/>
    <x v="2"/>
    <x v="256"/>
    <x v="0"/>
    <n v="10"/>
    <x v="1"/>
    <x v="1"/>
    <s v="-"/>
    <x v="0"/>
    <n v="20"/>
    <n v="10"/>
    <n v="20"/>
  </r>
  <r>
    <n v="3489"/>
    <s v="Ugo Dias"/>
    <x v="1"/>
    <x v="257"/>
    <x v="1"/>
    <n v="5"/>
    <x v="2"/>
    <x v="1"/>
    <s v="-"/>
    <x v="1"/>
    <n v="0"/>
    <n v="1"/>
    <n v="4"/>
  </r>
  <r>
    <n v="3490"/>
    <s v="Valéria Lima"/>
    <x v="0"/>
    <x v="258"/>
    <x v="0"/>
    <n v="15"/>
    <x v="0"/>
    <x v="0"/>
    <n v="30"/>
    <x v="0"/>
    <n v="20"/>
    <n v="15"/>
    <n v="50"/>
  </r>
  <r>
    <n v="3491"/>
    <s v="William Fernandes"/>
    <x v="2"/>
    <x v="259"/>
    <x v="1"/>
    <n v="10"/>
    <x v="0"/>
    <x v="1"/>
    <s v="-"/>
    <x v="0"/>
    <n v="20"/>
    <n v="5"/>
    <n v="25"/>
  </r>
  <r>
    <n v="3492"/>
    <s v="Xuxa Mendes"/>
    <x v="1"/>
    <x v="260"/>
    <x v="0"/>
    <n v="5"/>
    <x v="1"/>
    <x v="1"/>
    <s v="-"/>
    <x v="1"/>
    <n v="0"/>
    <n v="0"/>
    <n v="5"/>
  </r>
  <r>
    <n v="3493"/>
    <s v="Ygor Farias"/>
    <x v="0"/>
    <x v="261"/>
    <x v="1"/>
    <n v="15"/>
    <x v="2"/>
    <x v="0"/>
    <n v="30"/>
    <x v="0"/>
    <n v="20"/>
    <n v="20"/>
    <n v="45"/>
  </r>
  <r>
    <n v="3494"/>
    <s v="Zilda Barros"/>
    <x v="2"/>
    <x v="262"/>
    <x v="0"/>
    <n v="10"/>
    <x v="2"/>
    <x v="1"/>
    <s v="-"/>
    <x v="0"/>
    <n v="20"/>
    <n v="12"/>
    <n v="18"/>
  </r>
  <r>
    <n v="3495"/>
    <s v="Amanda Santos"/>
    <x v="1"/>
    <x v="263"/>
    <x v="1"/>
    <n v="5"/>
    <x v="0"/>
    <x v="1"/>
    <s v="-"/>
    <x v="1"/>
    <n v="0"/>
    <n v="2"/>
    <n v="3"/>
  </r>
  <r>
    <n v="3496"/>
    <s v="Bruno Costa"/>
    <x v="0"/>
    <x v="264"/>
    <x v="0"/>
    <n v="15"/>
    <x v="1"/>
    <x v="0"/>
    <n v="30"/>
    <x v="0"/>
    <n v="20"/>
    <n v="5"/>
    <n v="60"/>
  </r>
  <r>
    <n v="3497"/>
    <s v="Carla Rodrigues"/>
    <x v="2"/>
    <x v="265"/>
    <x v="1"/>
    <n v="10"/>
    <x v="0"/>
    <x v="1"/>
    <s v="-"/>
    <x v="0"/>
    <n v="20"/>
    <n v="10"/>
    <n v="20"/>
  </r>
  <r>
    <n v="3498"/>
    <s v="Diogo Pereira"/>
    <x v="1"/>
    <x v="266"/>
    <x v="0"/>
    <n v="5"/>
    <x v="2"/>
    <x v="1"/>
    <s v="-"/>
    <x v="1"/>
    <n v="0"/>
    <n v="0"/>
    <n v="5"/>
  </r>
  <r>
    <n v="3499"/>
    <s v="Elisa Correia"/>
    <x v="0"/>
    <x v="267"/>
    <x v="1"/>
    <n v="15"/>
    <x v="0"/>
    <x v="0"/>
    <n v="30"/>
    <x v="0"/>
    <n v="20"/>
    <n v="3"/>
    <n v="62"/>
  </r>
  <r>
    <n v="3500"/>
    <s v="Fábio Lourenço"/>
    <x v="2"/>
    <x v="268"/>
    <x v="0"/>
    <n v="10"/>
    <x v="1"/>
    <x v="1"/>
    <s v="-"/>
    <x v="0"/>
    <n v="20"/>
    <n v="15"/>
    <n v="15"/>
  </r>
  <r>
    <n v="3501"/>
    <s v="Gabriela Neves"/>
    <x v="1"/>
    <x v="269"/>
    <x v="1"/>
    <n v="5"/>
    <x v="0"/>
    <x v="1"/>
    <s v="-"/>
    <x v="1"/>
    <n v="0"/>
    <n v="1"/>
    <n v="4"/>
  </r>
  <r>
    <n v="3502"/>
    <s v="Henrique Gonçalves"/>
    <x v="0"/>
    <x v="270"/>
    <x v="0"/>
    <n v="15"/>
    <x v="2"/>
    <x v="0"/>
    <n v="30"/>
    <x v="0"/>
    <n v="20"/>
    <n v="7"/>
    <n v="58"/>
  </r>
  <r>
    <n v="3503"/>
    <s v="Íris Santos"/>
    <x v="2"/>
    <x v="271"/>
    <x v="1"/>
    <n v="10"/>
    <x v="0"/>
    <x v="1"/>
    <s v="-"/>
    <x v="0"/>
    <n v="20"/>
    <n v="10"/>
    <n v="20"/>
  </r>
  <r>
    <n v="3504"/>
    <s v="João Marcelo Alves"/>
    <x v="1"/>
    <x v="272"/>
    <x v="0"/>
    <n v="5"/>
    <x v="1"/>
    <x v="1"/>
    <s v="-"/>
    <x v="1"/>
    <n v="0"/>
    <n v="0"/>
    <n v="5"/>
  </r>
  <r>
    <n v="3505"/>
    <s v="Klara Fonseca"/>
    <x v="0"/>
    <x v="273"/>
    <x v="1"/>
    <n v="15"/>
    <x v="0"/>
    <x v="0"/>
    <n v="30"/>
    <x v="0"/>
    <n v="20"/>
    <n v="20"/>
    <n v="45"/>
  </r>
  <r>
    <n v="3506"/>
    <s v="Lucas Mendonça"/>
    <x v="2"/>
    <x v="274"/>
    <x v="0"/>
    <n v="10"/>
    <x v="2"/>
    <x v="1"/>
    <s v="-"/>
    <x v="0"/>
    <n v="20"/>
    <n v="15"/>
    <n v="15"/>
  </r>
  <r>
    <n v="3507"/>
    <s v="Marcela Torres"/>
    <x v="1"/>
    <x v="275"/>
    <x v="1"/>
    <n v="5"/>
    <x v="0"/>
    <x v="1"/>
    <s v="-"/>
    <x v="1"/>
    <n v="0"/>
    <n v="1"/>
    <n v="4"/>
  </r>
  <r>
    <n v="3508"/>
    <s v="Natália Castro"/>
    <x v="0"/>
    <x v="276"/>
    <x v="0"/>
    <n v="15"/>
    <x v="1"/>
    <x v="0"/>
    <n v="30"/>
    <x v="0"/>
    <n v="20"/>
    <n v="3"/>
    <n v="62"/>
  </r>
  <r>
    <n v="3509"/>
    <s v="Oscar Martins"/>
    <x v="2"/>
    <x v="277"/>
    <x v="1"/>
    <n v="10"/>
    <x v="0"/>
    <x v="1"/>
    <s v="-"/>
    <x v="0"/>
    <n v="20"/>
    <n v="10"/>
    <n v="20"/>
  </r>
  <r>
    <n v="3510"/>
    <s v="Patrícia Oliveira"/>
    <x v="1"/>
    <x v="278"/>
    <x v="0"/>
    <n v="5"/>
    <x v="2"/>
    <x v="1"/>
    <s v="-"/>
    <x v="1"/>
    <n v="0"/>
    <n v="0"/>
    <n v="5"/>
  </r>
  <r>
    <n v="3511"/>
    <s v="Quentin Nogueira"/>
    <x v="0"/>
    <x v="279"/>
    <x v="1"/>
    <n v="15"/>
    <x v="0"/>
    <x v="0"/>
    <n v="30"/>
    <x v="0"/>
    <n v="20"/>
    <n v="15"/>
    <n v="50"/>
  </r>
  <r>
    <n v="3512"/>
    <s v="Raquel Silva"/>
    <x v="2"/>
    <x v="280"/>
    <x v="0"/>
    <n v="10"/>
    <x v="1"/>
    <x v="1"/>
    <s v="-"/>
    <x v="0"/>
    <n v="20"/>
    <n v="15"/>
    <n v="15"/>
  </r>
  <r>
    <n v="3513"/>
    <s v="Sandro Gomes"/>
    <x v="1"/>
    <x v="281"/>
    <x v="1"/>
    <n v="5"/>
    <x v="0"/>
    <x v="1"/>
    <s v="-"/>
    <x v="1"/>
    <n v="0"/>
    <n v="1"/>
    <n v="4"/>
  </r>
  <r>
    <n v="3514"/>
    <s v="Tânia Machado"/>
    <x v="0"/>
    <x v="282"/>
    <x v="0"/>
    <n v="15"/>
    <x v="2"/>
    <x v="0"/>
    <n v="30"/>
    <x v="0"/>
    <n v="20"/>
    <n v="7"/>
    <n v="58"/>
  </r>
  <r>
    <n v="3515"/>
    <s v="Ursula Silva"/>
    <x v="2"/>
    <x v="283"/>
    <x v="1"/>
    <n v="10"/>
    <x v="0"/>
    <x v="1"/>
    <s v="-"/>
    <x v="0"/>
    <n v="20"/>
    <n v="10"/>
    <n v="20"/>
  </r>
  <r>
    <n v="3516"/>
    <s v="Vanessa Moraes"/>
    <x v="1"/>
    <x v="284"/>
    <x v="0"/>
    <n v="5"/>
    <x v="1"/>
    <x v="1"/>
    <s v="-"/>
    <x v="1"/>
    <n v="0"/>
    <n v="0"/>
    <n v="5"/>
  </r>
  <r>
    <n v="3517"/>
    <s v="William Carvalho"/>
    <x v="0"/>
    <x v="285"/>
    <x v="1"/>
    <n v="15"/>
    <x v="0"/>
    <x v="0"/>
    <n v="30"/>
    <x v="0"/>
    <n v="20"/>
    <n v="20"/>
    <n v="45"/>
  </r>
  <r>
    <n v="3518"/>
    <s v="Xavier Reis"/>
    <x v="2"/>
    <x v="286"/>
    <x v="0"/>
    <n v="10"/>
    <x v="2"/>
    <x v="1"/>
    <s v="-"/>
    <x v="0"/>
    <n v="20"/>
    <n v="12"/>
    <n v="18"/>
  </r>
  <r>
    <n v="3519"/>
    <s v="Yasmin Rocha"/>
    <x v="1"/>
    <x v="287"/>
    <x v="1"/>
    <n v="5"/>
    <x v="0"/>
    <x v="1"/>
    <s v="-"/>
    <x v="1"/>
    <n v="0"/>
    <n v="2"/>
    <n v="3"/>
  </r>
  <r>
    <n v="3520"/>
    <s v="Zacarias Duarte"/>
    <x v="0"/>
    <x v="288"/>
    <x v="0"/>
    <n v="15"/>
    <x v="1"/>
    <x v="0"/>
    <n v="30"/>
    <x v="0"/>
    <n v="20"/>
    <n v="5"/>
    <n v="60"/>
  </r>
  <r>
    <n v="3521"/>
    <s v="Amanda Freitas"/>
    <x v="2"/>
    <x v="289"/>
    <x v="1"/>
    <n v="10"/>
    <x v="0"/>
    <x v="1"/>
    <s v="-"/>
    <x v="0"/>
    <n v="20"/>
    <n v="10"/>
    <n v="20"/>
  </r>
  <r>
    <n v="3522"/>
    <s v="Bruno Almeida"/>
    <x v="1"/>
    <x v="290"/>
    <x v="0"/>
    <n v="5"/>
    <x v="2"/>
    <x v="1"/>
    <s v="-"/>
    <x v="1"/>
    <n v="0"/>
    <n v="0"/>
    <n v="5"/>
  </r>
  <r>
    <n v="3523"/>
    <s v="Carla Siqueira"/>
    <x v="0"/>
    <x v="291"/>
    <x v="1"/>
    <n v="15"/>
    <x v="0"/>
    <x v="0"/>
    <n v="30"/>
    <x v="0"/>
    <n v="20"/>
    <n v="3"/>
    <n v="62"/>
  </r>
  <r>
    <n v="3524"/>
    <s v="Diogo Ramos"/>
    <x v="2"/>
    <x v="292"/>
    <x v="0"/>
    <n v="10"/>
    <x v="1"/>
    <x v="1"/>
    <s v="-"/>
    <x v="0"/>
    <n v="20"/>
    <n v="15"/>
    <n v="15"/>
  </r>
  <r>
    <n v="3525"/>
    <s v="Elisa Magalhães"/>
    <x v="1"/>
    <x v="293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90676-5898-4064-9921-590B79CA209F}" name="Tabela dinâ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 rowHeaderCaption="Receita por Renovação Automática">
  <location ref="A15:B17" firstHeaderRow="1" firstDataRow="1" firstDataCol="1"/>
  <pivotFields count="15"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axis="axisRow" showAll="0" defaultSubtotal="0">
      <items count="2">
        <item x="1"/>
        <item x="0"/>
      </items>
    </pivotField>
    <pivotField numFmtId="44"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  <pivotField dataField="1" numFmtId="4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Soma de Total Value" fld="12" baseField="0" baseItem="0"/>
  </dataFields>
  <formats count="5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73CCE-1BF6-47BF-9ADC-D1D6E9B6A684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 rowHeaderCaption="Receita por Tipo de Assinatura">
  <location ref="A8:B11" firstHeaderRow="1" firstDataRow="1" firstDataCol="1"/>
  <pivotFields count="15"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showAll="0" defaultSubtotal="0">
      <items count="2">
        <item x="1"/>
        <item x="0"/>
      </items>
    </pivotField>
    <pivotField numFmtId="44" showAll="0" defaultSubtotal="0"/>
    <pivotField axis="axisRow"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  <pivotField dataField="1" numFmtId="4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oma de Total Value" fld="12" baseField="0" baseItem="0"/>
  </dataFields>
  <formats count="5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957CB-457D-498F-902C-FB0C6FEB7AD9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 rowHeaderCaption="Receita por Plano">
  <location ref="A1:B4" firstHeaderRow="1" firstDataRow="1" firstDataCol="1"/>
  <pivotFields count="15">
    <pivotField showAll="0" defaultSubtotal="0"/>
    <pivotField showAll="0" defaultSubtotal="0"/>
    <pivotField axis="axisRow" showAll="0" defaultSubtotal="0">
      <items count="3">
        <item x="1"/>
        <item x="2"/>
        <item x="0"/>
      </items>
    </pivotField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showAll="0" defaultSubtotal="0">
      <items count="2">
        <item x="1"/>
        <item x="0"/>
      </items>
    </pivotField>
    <pivotField numFmtId="44"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  <pivotField dataField="1" numFmtId="4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oma de Total Value" fld="12" baseField="0" baseItem="0"/>
  </dataFields>
  <formats count="5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89982-7760-4B47-8D59-582216F14045}" name="Tabela dinâmica7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 rowHeaderCaption="Receita por Mês">
  <location ref="E1:F14" firstHeaderRow="1" firstDataRow="1" firstDataCol="1"/>
  <pivotFields count="15"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showAll="0" defaultSubtotal="0">
      <items count="2">
        <item x="1"/>
        <item x="0"/>
      </items>
    </pivotField>
    <pivotField numFmtId="44"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  <pivotField dataField="1" numFmtId="44"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3">
        <item x="0"/>
        <item x="1"/>
        <item x="2"/>
      </items>
    </pivotField>
  </pivotFields>
  <rowFields count="2">
    <field x="14"/>
    <field x="13"/>
  </rowFields>
  <rowItems count="1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dataFields count="1">
    <dataField name="Soma de Total Value" fld="12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4" type="button" dataOnly="0" labelOnly="1" outline="0" axis="axisRow" fieldPosition="0"/>
    </format>
    <format dxfId="33">
      <pivotArea dataOnly="0" labelOnly="1" fieldPosition="0">
        <references count="1">
          <reference field="14" count="1">
            <x v="1"/>
          </reference>
        </references>
      </pivotArea>
    </format>
    <format dxfId="32">
      <pivotArea dataOnly="0" labelOnly="1" fieldPosition="0">
        <references count="2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4" count="1" selected="0">
            <x v="1"/>
          </reference>
        </references>
      </pivotArea>
    </format>
    <format dxfId="3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9DE6B-4B39-49F1-A060-035DC7F12B9A}" name="Tabela dinâmica6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 rowHeaderCaption="Receita por Minecraft Pass">
  <location ref="A29:B31" firstHeaderRow="1" firstDataRow="1" firstDataCol="1"/>
  <pivotFields count="15"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showAll="0" defaultSubtotal="0">
      <items count="2">
        <item x="1"/>
        <item x="0"/>
      </items>
    </pivotField>
    <pivotField numFmtId="44"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numFmtId="44" showAll="0" defaultSubtotal="0"/>
    <pivotField numFmtId="44" showAll="0" defaultSubtotal="0"/>
    <pivotField dataField="1" numFmtId="4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1">
    <field x="9"/>
  </rowFields>
  <rowItems count="2">
    <i>
      <x/>
    </i>
    <i>
      <x v="1"/>
    </i>
  </rowItems>
  <colItems count="1">
    <i/>
  </colItems>
  <dataFields count="1">
    <dataField name="Soma de Total Value" fld="12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0841C-5EBC-4988-9112-16039710ACFB}" name="Tabela dinâ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 rowHeaderCaption="Receita por EA Play">
  <location ref="A22:B24" firstHeaderRow="1" firstDataRow="1" firstDataCol="1"/>
  <pivotFields count="15"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numFmtId="14" showAll="0" defaultSubtotal="0">
      <items count="29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  <pivotField showAll="0" defaultSubtotal="0">
      <items count="2">
        <item x="1"/>
        <item x="0"/>
      </items>
    </pivotField>
    <pivotField numFmtId="44" showAll="0" defaultSubtotal="0"/>
    <pivotField showAll="0" defaultSubtotal="0">
      <items count="3">
        <item x="1"/>
        <item x="0"/>
        <item x="2"/>
      </items>
    </pivotField>
    <pivotField axis="axisRow" showAll="0" defaultSubtotal="0">
      <items count="2">
        <item x="1"/>
        <item x="0"/>
      </items>
    </pivotField>
    <pivotField showAll="0" defaultSubtotal="0"/>
    <pivotField showAll="0" defaultSubtotal="0"/>
    <pivotField numFmtId="44" showAll="0" defaultSubtotal="0"/>
    <pivotField numFmtId="44" showAll="0" defaultSubtotal="0"/>
    <pivotField dataField="1" numFmtId="4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1">
    <field x="7"/>
  </rowFields>
  <rowItems count="2">
    <i>
      <x/>
    </i>
    <i>
      <x v="1"/>
    </i>
  </rowItems>
  <colItems count="1">
    <i/>
  </colItems>
  <dataFields count="1">
    <dataField name="Soma de Total Value" fld="12" baseField="0" baseItem="0"/>
  </dataFields>
  <formats count="5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05BAD335-0DBA-4DEB-8301-5D9CAF62BF8F}" sourceName="Plan">
  <pivotTables>
    <pivotTable tabId="3" name="Tabela dinâmica1"/>
    <pivotTable tabId="3" name="Tabela dinâmica2"/>
    <pivotTable tabId="3" name="Tabela dinâmica4"/>
    <pivotTable tabId="3" name="Tabela dinâmica5"/>
    <pivotTable tabId="3" name="Tabela dinâmica6"/>
    <pivotTable tabId="3" name="Tabela dinâmica7"/>
  </pivotTables>
  <data>
    <tabular pivotCacheId="247677463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0D81FB76-9900-4283-B3AE-4E7C6B73B5B0}" sourceName="Auto Renewal">
  <pivotTables>
    <pivotTable tabId="3" name="Tabela dinâmica1"/>
    <pivotTable tabId="3" name="Tabela dinâmica2"/>
    <pivotTable tabId="3" name="Tabela dinâmica4"/>
    <pivotTable tabId="3" name="Tabela dinâmica5"/>
    <pivotTable tabId="3" name="Tabela dinâmica6"/>
    <pivotTable tabId="3" name="Tabela dinâmica7"/>
  </pivotTables>
  <data>
    <tabular pivotCacheId="247677463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4E1464F-254D-4A84-8D8B-2F0EA6608AC0}" sourceName="Subscription Type">
  <pivotTables>
    <pivotTable tabId="3" name="Tabela dinâmica1"/>
    <pivotTable tabId="3" name="Tabela dinâmica2"/>
    <pivotTable tabId="3" name="Tabela dinâmica4"/>
    <pivotTable tabId="3" name="Tabela dinâmica5"/>
    <pivotTable tabId="3" name="Tabela dinâmica6"/>
    <pivotTable tabId="3" name="Tabela dinâmica7"/>
  </pivotTables>
  <data>
    <tabular pivotCacheId="24767746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3C3DE0B0-01D0-4B49-9B8C-199A41F771F3}" cache="SegmentaçãodeDados_Plan" caption="Plan" rowHeight="247650"/>
  <slicer name="Auto Renewal" xr10:uid="{EC1E54ED-BAE4-4DB8-B7FC-E32CB281EF5A}" cache="SegmentaçãodeDados_Auto_Renewal" caption="Auto Renewal" rowHeight="247650"/>
  <slicer name="Subscription Type" xr10:uid="{0735442F-31B5-4720-B1CE-ACE94CB90848}" cache="SegmentaçãodeDados_Subscription_Type" caption="Subscription Typ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9"/>
    <tableColumn id="2" xr3:uid="{53DD39D0-2220-4121-9E9D-4EAA7E151C0F}" name="Name" dataDxfId="48"/>
    <tableColumn id="3" xr3:uid="{4F5FF271-4C57-4BE0-8F2C-F82C8551625C}" name="Plan" dataDxfId="47"/>
    <tableColumn id="4" xr3:uid="{8C17EB93-79B9-4E55-B8F7-BEB82F8253E9}" name="Start Date" dataDxfId="46"/>
    <tableColumn id="5" xr3:uid="{48CEDF9B-1689-482A-A828-5CCE7713264A}" name="Auto Renewal" dataDxfId="45"/>
    <tableColumn id="6" xr3:uid="{78B82374-9AA7-4E38-AE4F-78CDE6C83720}" name="Subscription Price" dataDxfId="44" dataCellStyle="Moeda"/>
    <tableColumn id="7" xr3:uid="{F2433F68-AF33-49D0-B1FB-19A396074EDE}" name="Subscription Type" dataDxfId="43"/>
    <tableColumn id="8" xr3:uid="{FD4D9C95-F6E5-4933-9068-A71FF7DF9343}" name="EA Play Season Pass" dataDxfId="42"/>
    <tableColumn id="13" xr3:uid="{978DD0D2-834E-4CE4-A39B-30976086932F}" name="EA Play Season Pass_x000a_Price" dataDxfId="41" dataCellStyle="Moeda"/>
    <tableColumn id="9" xr3:uid="{6E29F111-C395-4580-9DAD-3407D9E8B1A4}" name="Minecraft Season Pass" dataDxfId="40"/>
    <tableColumn id="10" xr3:uid="{EF544EAA-7F25-4FD5-A10E-8E62804DB9E3}" name="Minecraft Season Pass Price" dataDxfId="39" dataCellStyle="Moeda"/>
    <tableColumn id="11" xr3:uid="{7F6EB64A-1F07-4E48-9F0F-AC7D9DCD26F8}" name="Coupon Value" dataDxfId="38" dataCellStyle="Moeda"/>
    <tableColumn id="12" xr3:uid="{2B04ABC8-DE6F-426E-ADC0-D8AFC68CA58E}" name="Total Value" dataDxfId="3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A3:P21"/>
  <sheetViews>
    <sheetView showGridLines="0" zoomScaleNormal="100" workbookViewId="0">
      <selection activeCell="E5" sqref="E5"/>
    </sheetView>
  </sheetViews>
  <sheetFormatPr defaultRowHeight="14.4"/>
  <cols>
    <col min="9" max="9" width="3.5546875" customWidth="1"/>
  </cols>
  <sheetData>
    <row r="3" spans="1:16" ht="20.399999999999999" thickBot="1">
      <c r="B3" s="1" t="s">
        <v>0</v>
      </c>
      <c r="C3" s="1"/>
      <c r="D3" s="1"/>
      <c r="E3" s="1"/>
      <c r="F3" s="1"/>
      <c r="G3" s="1"/>
      <c r="H3" s="1"/>
    </row>
    <row r="4" spans="1:16" ht="15" thickTop="1"/>
    <row r="5" spans="1:16">
      <c r="A5" s="18"/>
      <c r="B5" s="3" t="s">
        <v>2</v>
      </c>
      <c r="C5" t="s">
        <v>8</v>
      </c>
      <c r="E5" s="7" t="s">
        <v>6</v>
      </c>
      <c r="F5" t="s">
        <v>7</v>
      </c>
    </row>
    <row r="6" spans="1:16">
      <c r="A6" s="18"/>
      <c r="B6" s="4" t="s">
        <v>3</v>
      </c>
      <c r="C6" t="s">
        <v>8</v>
      </c>
    </row>
    <row r="7" spans="1:16">
      <c r="A7" s="5"/>
      <c r="B7" s="5" t="s">
        <v>4</v>
      </c>
      <c r="C7" t="s">
        <v>9</v>
      </c>
    </row>
    <row r="8" spans="1:16">
      <c r="A8" s="6"/>
      <c r="B8" s="6" t="s">
        <v>5</v>
      </c>
      <c r="C8" t="s">
        <v>9</v>
      </c>
    </row>
    <row r="12" spans="1:16" ht="20.399999999999999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1:16" ht="15" thickTop="1">
      <c r="B13" s="2"/>
      <c r="C13" s="2"/>
      <c r="D13" s="2"/>
      <c r="E13" s="2"/>
      <c r="F13" s="2"/>
      <c r="G13" s="2"/>
      <c r="H13" s="2"/>
    </row>
    <row r="14" spans="1:16">
      <c r="B14" s="2"/>
      <c r="C14" s="2"/>
      <c r="D14" s="2"/>
      <c r="E14" s="2"/>
      <c r="F14" s="2"/>
      <c r="G14" s="2"/>
      <c r="H14" s="2"/>
    </row>
    <row r="15" spans="1:16">
      <c r="B15" s="2"/>
      <c r="C15" s="2"/>
      <c r="D15" s="2"/>
      <c r="E15" s="2"/>
      <c r="F15" s="2"/>
      <c r="G15" s="2"/>
      <c r="H15" s="2"/>
    </row>
    <row r="16" spans="1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23" zoomScale="90" zoomScaleNormal="90" workbookViewId="0">
      <selection activeCell="B298" sqref="B298"/>
    </sheetView>
  </sheetViews>
  <sheetFormatPr defaultRowHeight="14.4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I31"/>
  <sheetViews>
    <sheetView showGridLines="0" workbookViewId="0">
      <selection activeCell="A29" sqref="A29:B31"/>
    </sheetView>
  </sheetViews>
  <sheetFormatPr defaultRowHeight="14.4"/>
  <cols>
    <col min="1" max="1" width="25.44140625" bestFit="1" customWidth="1"/>
    <col min="2" max="2" width="17.88671875" bestFit="1" customWidth="1"/>
    <col min="3" max="3" width="18.44140625" bestFit="1" customWidth="1"/>
    <col min="4" max="4" width="30.5546875" bestFit="1" customWidth="1"/>
    <col min="5" max="5" width="16.44140625" bestFit="1" customWidth="1"/>
    <col min="6" max="6" width="17.88671875" bestFit="1" customWidth="1"/>
    <col min="7" max="7" width="27.6640625" bestFit="1" customWidth="1"/>
    <col min="8" max="8" width="16.44140625" bestFit="1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9">
      <c r="A1" s="21" t="s">
        <v>314</v>
      </c>
      <c r="B1" s="12" t="s">
        <v>313</v>
      </c>
      <c r="E1" s="21" t="s">
        <v>332</v>
      </c>
      <c r="F1" s="12" t="s">
        <v>313</v>
      </c>
      <c r="H1" s="12" t="s">
        <v>334</v>
      </c>
      <c r="I1" s="12"/>
    </row>
    <row r="2" spans="1:9">
      <c r="A2" s="22" t="s">
        <v>22</v>
      </c>
      <c r="B2" s="23">
        <v>444</v>
      </c>
      <c r="E2" s="22" t="s">
        <v>327</v>
      </c>
      <c r="F2" s="23"/>
      <c r="H2" s="14" t="s">
        <v>335</v>
      </c>
      <c r="I2" s="17">
        <f>SUM(B̳ases!M2:M294)</f>
        <v>7614</v>
      </c>
    </row>
    <row r="3" spans="1:9">
      <c r="A3" s="22" t="s">
        <v>26</v>
      </c>
      <c r="B3" s="23">
        <v>1801</v>
      </c>
      <c r="E3" s="24" t="s">
        <v>315</v>
      </c>
      <c r="F3" s="23">
        <v>65</v>
      </c>
      <c r="H3" s="12" t="s">
        <v>336</v>
      </c>
      <c r="I3" s="15">
        <f>COUNTA(B̳ases!A:A)</f>
        <v>296</v>
      </c>
    </row>
    <row r="4" spans="1:9">
      <c r="A4" s="22" t="s">
        <v>18</v>
      </c>
      <c r="B4" s="23">
        <v>5388</v>
      </c>
      <c r="E4" s="24" t="s">
        <v>326</v>
      </c>
      <c r="F4" s="23">
        <v>82</v>
      </c>
      <c r="H4" s="12" t="s">
        <v>337</v>
      </c>
      <c r="I4" s="16">
        <f>AVERAGE(B̳ases!M:M)</f>
        <v>25.874576271186442</v>
      </c>
    </row>
    <row r="5" spans="1:9">
      <c r="E5" s="24" t="s">
        <v>316</v>
      </c>
      <c r="F5" s="23">
        <v>801</v>
      </c>
      <c r="H5" s="12" t="s">
        <v>338</v>
      </c>
      <c r="I5" s="16">
        <f>SUM(B̳ases!L2:L294)</f>
        <v>2106</v>
      </c>
    </row>
    <row r="6" spans="1:9">
      <c r="E6" s="24" t="s">
        <v>317</v>
      </c>
      <c r="F6" s="23">
        <v>782</v>
      </c>
    </row>
    <row r="7" spans="1:9">
      <c r="E7" s="24" t="s">
        <v>318</v>
      </c>
      <c r="F7" s="23">
        <v>777</v>
      </c>
    </row>
    <row r="8" spans="1:9">
      <c r="A8" s="21" t="s">
        <v>328</v>
      </c>
      <c r="B8" s="12" t="s">
        <v>313</v>
      </c>
      <c r="E8" s="24" t="s">
        <v>319</v>
      </c>
      <c r="F8" s="23">
        <v>770</v>
      </c>
    </row>
    <row r="9" spans="1:9">
      <c r="A9" s="22" t="s">
        <v>24</v>
      </c>
      <c r="B9" s="23">
        <v>1754</v>
      </c>
      <c r="E9" s="24" t="s">
        <v>320</v>
      </c>
      <c r="F9" s="23">
        <v>784</v>
      </c>
    </row>
    <row r="10" spans="1:9">
      <c r="A10" s="22" t="s">
        <v>20</v>
      </c>
      <c r="B10" s="23">
        <v>3571</v>
      </c>
      <c r="E10" s="24" t="s">
        <v>321</v>
      </c>
      <c r="F10" s="23">
        <v>787</v>
      </c>
    </row>
    <row r="11" spans="1:9">
      <c r="A11" s="22" t="s">
        <v>27</v>
      </c>
      <c r="B11" s="23">
        <v>2308</v>
      </c>
      <c r="E11" s="24" t="s">
        <v>322</v>
      </c>
      <c r="F11" s="23">
        <v>780</v>
      </c>
    </row>
    <row r="12" spans="1:9">
      <c r="E12" s="24" t="s">
        <v>323</v>
      </c>
      <c r="F12" s="23">
        <v>832</v>
      </c>
    </row>
    <row r="13" spans="1:9">
      <c r="E13" s="24" t="s">
        <v>324</v>
      </c>
      <c r="F13" s="23">
        <v>784</v>
      </c>
    </row>
    <row r="14" spans="1:9">
      <c r="E14" s="24" t="s">
        <v>325</v>
      </c>
      <c r="F14" s="23">
        <v>389</v>
      </c>
    </row>
    <row r="15" spans="1:9">
      <c r="A15" s="21" t="s">
        <v>329</v>
      </c>
      <c r="B15" s="12" t="s">
        <v>313</v>
      </c>
    </row>
    <row r="16" spans="1:9">
      <c r="A16" s="22" t="s">
        <v>23</v>
      </c>
      <c r="B16" s="23">
        <v>3847</v>
      </c>
    </row>
    <row r="17" spans="1:2">
      <c r="A17" s="22" t="s">
        <v>19</v>
      </c>
      <c r="B17" s="23">
        <v>3786</v>
      </c>
    </row>
    <row r="22" spans="1:2">
      <c r="A22" s="21" t="s">
        <v>330</v>
      </c>
      <c r="B22" s="12" t="s">
        <v>313</v>
      </c>
    </row>
    <row r="23" spans="1:2">
      <c r="A23" s="22" t="s">
        <v>23</v>
      </c>
      <c r="B23" s="23">
        <v>2245</v>
      </c>
    </row>
    <row r="24" spans="1:2">
      <c r="A24" s="22" t="s">
        <v>19</v>
      </c>
      <c r="B24" s="23">
        <v>5388</v>
      </c>
    </row>
    <row r="29" spans="1:2">
      <c r="A29" s="21" t="s">
        <v>331</v>
      </c>
      <c r="B29" s="12" t="s">
        <v>313</v>
      </c>
    </row>
    <row r="30" spans="1:2">
      <c r="A30" s="22" t="s">
        <v>23</v>
      </c>
      <c r="B30" s="23">
        <v>444</v>
      </c>
    </row>
    <row r="31" spans="1:2">
      <c r="A31" s="22" t="s">
        <v>19</v>
      </c>
      <c r="B31" s="23">
        <v>7189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E68"/>
  <sheetViews>
    <sheetView showGridLines="0" tabSelected="1" zoomScale="60" zoomScaleNormal="60" workbookViewId="0">
      <selection activeCell="T7" sqref="T7"/>
    </sheetView>
  </sheetViews>
  <sheetFormatPr defaultRowHeight="14.4"/>
  <cols>
    <col min="1" max="1" width="20" customWidth="1"/>
    <col min="2" max="2" width="3.5546875" customWidth="1"/>
    <col min="12" max="12" width="6.5546875" customWidth="1"/>
  </cols>
  <sheetData>
    <row r="1" spans="1:31">
      <c r="A1" s="19" t="s">
        <v>333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31" ht="39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31" ht="8.25" customHeight="1"/>
    <row r="4" spans="1:31" ht="7.5" customHeight="1">
      <c r="A4" s="13"/>
      <c r="B4" s="13" t="e">
        <f>[1]Cálculos!I2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31" ht="10.5" customHeight="1"/>
    <row r="6" spans="1:31" ht="9.75" customHeight="1"/>
    <row r="7" spans="1:31" ht="33" customHeight="1"/>
    <row r="8" spans="1:3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10" spans="1:3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3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3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3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spans="1:3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spans="1:3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spans="1:3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3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3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3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3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</sheetData>
  <mergeCells count="1">
    <mergeCell ref="A1:R2"/>
  </mergeCells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Raphael Gustavo</cp:lastModifiedBy>
  <dcterms:created xsi:type="dcterms:W3CDTF">2024-12-19T13:13:10Z</dcterms:created>
  <dcterms:modified xsi:type="dcterms:W3CDTF">2026-07-11T15:52:11Z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